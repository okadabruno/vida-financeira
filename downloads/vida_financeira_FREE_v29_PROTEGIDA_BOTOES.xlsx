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CE AQUI" sheetId="1" state="visible" r:id="rId3"/>
    <sheet name="LANÇAR" sheetId="2" state="visible" r:id="rId4"/>
    <sheet name="LEIA-ME" sheetId="3" state="hidden" r:id="rId5"/>
    <sheet name="Dashboard" sheetId="4" state="visible" r:id="rId6"/>
    <sheet name="Configurações" sheetId="5" state="hidden" r:id="rId7"/>
    <sheet name="Lançamentos" sheetId="6" state="visible" r:id="rId8"/>
    <sheet name="Cartões" sheetId="7" state="hidden" r:id="rId9"/>
    <sheet name="Contas" sheetId="8" state="hidden" r:id="rId10"/>
    <sheet name="Investimentos" sheetId="9" state="hidden" r:id="rId11"/>
    <sheet name="Patrimônio" sheetId="10" state="hidden" r:id="rId12"/>
    <sheet name="Metas" sheetId="11" state="hidden" r:id="rId13"/>
    <sheet name="Simuladores" sheetId="12" state="hidden" r:id="rId14"/>
    <sheet name="Planejamento" sheetId="13" state="hidden" r:id="rId15"/>
    <sheet name="Histórico Patrimonial" sheetId="14" state="hidden" r:id="rId16"/>
  </sheets>
  <definedNames>
    <definedName function="false" hidden="true" localSheetId="6" name="_xlnm._FilterDatabase" vbProcedure="false">Cartões!$A$4:$I$204</definedName>
    <definedName function="false" hidden="true" localSheetId="7" name="_xlnm._FilterDatabase" vbProcedure="false">Contas!$A$3:$E$53</definedName>
    <definedName function="false" hidden="true" localSheetId="8" name="_xlnm._FilterDatabase" vbProcedure="false">Investimentos!$A$4:$I$104</definedName>
    <definedName function="false" hidden="true" localSheetId="5" name="_xlnm._FilterDatabase" vbProcedure="false">Lançamentos!$A$4:$G$304</definedName>
    <definedName function="false" hidden="true" localSheetId="10" name="_xlnm._FilterDatabase" vbProcedure="false">Metas!$A$3:$H$53</definedName>
    <definedName function="false" hidden="true" localSheetId="9" name="_xlnm._FilterDatabase" vbProcedure="false">Patrimônio!$A$4:$E$104</definedName>
    <definedName function="false" hidden="true" localSheetId="12" name="_xlnm._FilterDatabase" vbProcedure="false">Planejamento!$A$3:$F$13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<sst xmlns="http://schemas.openxmlformats.org/spreadsheetml/2006/main" count="221" uniqueCount="157">
  <si>
    <t xml:space="preserve">VIDA FINANCEIRA — FREE</t>
  </si>
  <si>
    <t xml:space="preserve">Controle suas receitas e despesas e veja seu resultado mensal.</t>
  </si>
  <si>
    <t xml:space="preserve">COMECE EM 2 MINUTOS</t>
  </si>
  <si>
    <t xml:space="preserve">1</t>
  </si>
  <si>
    <t xml:space="preserve">Lançamentos</t>
  </si>
  <si>
    <t xml:space="preserve">Cadastre receitas e despesas.</t>
  </si>
  <si>
    <t xml:space="preserve">2</t>
  </si>
  <si>
    <t xml:space="preserve">Dashboard</t>
  </si>
  <si>
    <t xml:space="preserve">Veja receitas, despesas, resultado e taxa de poupança.</t>
  </si>
  <si>
    <t xml:space="preserve">O QUE VOCÊ ENCONTRA NA FREE</t>
  </si>
  <si>
    <t xml:space="preserve">✓ Cadastro de receitas e despesas</t>
  </si>
  <si>
    <t xml:space="preserve">✓ Dashboard mensal</t>
  </si>
  <si>
    <t xml:space="preserve">✓ Taxa de poupança</t>
  </si>
  <si>
    <t xml:space="preserve">✓ Gráfico de despesas por categoria</t>
  </si>
  <si>
    <t xml:space="preserve">PREMIUM</t>
  </si>
  <si>
    <t xml:space="preserve">A versão Premium adiciona cartões e parcelas, contas, investimentos, patrimônio, metas, simuladores e planejamento. A Free é propositalmente simples para você começar.</t>
  </si>
  <si>
    <t xml:space="preserve">LANÇAMENTO RÁPIDO</t>
  </si>
  <si>
    <t xml:space="preserve">Na versão Free, o jeito mais simples é registrar diretamente na aba Lançamentos.</t>
  </si>
  <si>
    <t xml:space="preserve">→ ABRIR LANÇAMENTOS</t>
  </si>
  <si>
    <t xml:space="preserve">VIDA FINANCEIRA — Protótipo v1</t>
  </si>
  <si>
    <t xml:space="preserve">Objetivo</t>
  </si>
  <si>
    <t xml:space="preserve">Protótipo inicial de uma planilha comercial de controle financeiro e patrimonial.</t>
  </si>
  <si>
    <t xml:space="preserve">Como começar</t>
  </si>
  <si>
    <t xml:space="preserve">1) Vá em Configurações e ajuste categorias, contas e cartões. 2) Lance receitas/despesas. 3) Cadastre investimentos e patrimônio. 4) Consulte o Dashboard.</t>
  </si>
  <si>
    <t xml:space="preserve">Importante</t>
  </si>
  <si>
    <t xml:space="preserve">Os dados atuais são exemplos e servem apenas para demonstrar o funcionamento. Substitua-os pelos seus dados.</t>
  </si>
  <si>
    <t xml:space="preserve">Próximas melhorias</t>
  </si>
  <si>
    <t xml:space="preserve">Versão comercial: acabamento visual, tela de boas-vindas, filtros por mês, parcelas avançadas, histórico patrimonial, proteção de fórmulas, manual do usuário e versão FREE/PREMIUM.</t>
  </si>
  <si>
    <t xml:space="preserve">Resumo mensal</t>
  </si>
  <si>
    <t xml:space="preserve">Mês:</t>
  </si>
  <si>
    <t xml:space="preserve">RECEITAS</t>
  </si>
  <si>
    <t xml:space="preserve">DESPESAS</t>
  </si>
  <si>
    <t xml:space="preserve">RESULTADO</t>
  </si>
  <si>
    <t xml:space="preserve">TAXA DE POUPANÇA</t>
  </si>
  <si>
    <t xml:space="preserve">DESPESAS POR CATEGORIA</t>
  </si>
  <si>
    <t xml:space="preserve">COMPARAÇÃO</t>
  </si>
  <si>
    <t xml:space="preserve">COMO USAR</t>
  </si>
  <si>
    <t xml:space="preserve">Maior gasto = barra máxima</t>
  </si>
  <si>
    <t xml:space="preserve">Moradia</t>
  </si>
  <si>
    <t xml:space="preserve">1. Escolha o mês.
2. Registre suas receitas e despesas.
3. Volte ao Dashboard.
4. Analise seu resultado e sua taxa de poupança.</t>
  </si>
  <si>
    <t xml:space="preserve">Alimentação</t>
  </si>
  <si>
    <t xml:space="preserve">Transporte</t>
  </si>
  <si>
    <t xml:space="preserve">Saúde</t>
  </si>
  <si>
    <t xml:space="preserve">Educação</t>
  </si>
  <si>
    <t xml:space="preserve">Lazer</t>
  </si>
  <si>
    <t xml:space="preserve">Compras</t>
  </si>
  <si>
    <t xml:space="preserve">Assinaturas</t>
  </si>
  <si>
    <t xml:space="preserve">Impostos</t>
  </si>
  <si>
    <t xml:space="preserve">Cartões • Contas • Investimentos • Patrimônio • Metas • Simuladores • Planejamento</t>
  </si>
  <si>
    <t xml:space="preserve">Outros</t>
  </si>
  <si>
    <t xml:space="preserve">CONFIGURAÇÕES</t>
  </si>
  <si>
    <t xml:space="preserve">← Comece aqui</t>
  </si>
  <si>
    <t xml:space="preserve">Categorias de receita</t>
  </si>
  <si>
    <t xml:space="preserve">Categorias de despesa</t>
  </si>
  <si>
    <t xml:space="preserve">Contas</t>
  </si>
  <si>
    <t xml:space="preserve">Cartões</t>
  </si>
  <si>
    <t xml:space="preserve">Tipos de investimento</t>
  </si>
  <si>
    <t xml:space="preserve">Tipos de patrimônio</t>
  </si>
  <si>
    <t xml:space="preserve">Salário</t>
  </si>
  <si>
    <t xml:space="preserve">Conta Corrente</t>
  </si>
  <si>
    <t xml:space="preserve">Cartão Principal</t>
  </si>
  <si>
    <t xml:space="preserve">Renda Fixa</t>
  </si>
  <si>
    <t xml:space="preserve">Dinheiro</t>
  </si>
  <si>
    <t xml:space="preserve">Freelance</t>
  </si>
  <si>
    <t xml:space="preserve">Conta Poupança</t>
  </si>
  <si>
    <t xml:space="preserve">Nubank</t>
  </si>
  <si>
    <t xml:space="preserve">Ações</t>
  </si>
  <si>
    <t xml:space="preserve">Veículo</t>
  </si>
  <si>
    <t xml:space="preserve">Outras receitas</t>
  </si>
  <si>
    <t xml:space="preserve">Carteira</t>
  </si>
  <si>
    <t xml:space="preserve">Outro cartão</t>
  </si>
  <si>
    <t xml:space="preserve">ETF</t>
  </si>
  <si>
    <t xml:space="preserve">Imóvel</t>
  </si>
  <si>
    <t xml:space="preserve">Fundos</t>
  </si>
  <si>
    <t xml:space="preserve">Previdência</t>
  </si>
  <si>
    <t xml:space="preserve">Cripto</t>
  </si>
  <si>
    <t xml:space="preserve">Outros ativos</t>
  </si>
  <si>
    <t xml:space="preserve">Dívida</t>
  </si>
  <si>
    <t xml:space="preserve">Empréstimo</t>
  </si>
  <si>
    <t xml:space="preserve">Financiamento</t>
  </si>
  <si>
    <t xml:space="preserve">Outros passivos</t>
  </si>
  <si>
    <t xml:space="preserve">LANÇAMENTOS — FREE</t>
  </si>
  <si>
    <t xml:space="preserve">Registre receitas e despesas. A mesma compra não deve ser lançada duas vezes.</t>
  </si>
  <si>
    <t xml:space="preserve">Data</t>
  </si>
  <si>
    <t xml:space="preserve">Tipo</t>
  </si>
  <si>
    <t xml:space="preserve">Categoria</t>
  </si>
  <si>
    <t xml:space="preserve">Descrição</t>
  </si>
  <si>
    <t xml:space="preserve">Conta</t>
  </si>
  <si>
    <t xml:space="preserve">Valor</t>
  </si>
  <si>
    <t xml:space="preserve">Observação</t>
  </si>
  <si>
    <t xml:space="preserve">Receita</t>
  </si>
  <si>
    <t xml:space="preserve">Salário mensal</t>
  </si>
  <si>
    <t xml:space="preserve">Conta principal</t>
  </si>
  <si>
    <t xml:space="preserve">Despesa</t>
  </si>
  <si>
    <t xml:space="preserve">Condomínio</t>
  </si>
  <si>
    <t xml:space="preserve">Supermercado</t>
  </si>
  <si>
    <t xml:space="preserve">Combustível</t>
  </si>
  <si>
    <t xml:space="preserve">Passeio</t>
  </si>
  <si>
    <t xml:space="preserve">Internet</t>
  </si>
  <si>
    <t xml:space="preserve">CARTÕES DE CRÉDITO</t>
  </si>
  <si>
    <t xml:space="preserve">Data da compra</t>
  </si>
  <si>
    <t xml:space="preserve">Cartão</t>
  </si>
  <si>
    <t xml:space="preserve">Valor total</t>
  </si>
  <si>
    <t xml:space="preserve">Parcelas</t>
  </si>
  <si>
    <t xml:space="preserve">1ª parcela</t>
  </si>
  <si>
    <t xml:space="preserve">Valor da parcela</t>
  </si>
  <si>
    <t xml:space="preserve">CONTAS</t>
  </si>
  <si>
    <t xml:space="preserve">Saldo inicial</t>
  </si>
  <si>
    <t xml:space="preserve">Receitas</t>
  </si>
  <si>
    <t xml:space="preserve">Despesas</t>
  </si>
  <si>
    <t xml:space="preserve">Saldo estimado</t>
  </si>
  <si>
    <t xml:space="preserve">INVESTIMENTOS</t>
  </si>
  <si>
    <t xml:space="preserve">Cadastre cada posição. A rentabilidade é calculada automaticamente: (valor atual ÷ valor investido) − 1.</t>
  </si>
  <si>
    <t xml:space="preserve">Ativo</t>
  </si>
  <si>
    <t xml:space="preserve">Classe</t>
  </si>
  <si>
    <t xml:space="preserve">Valor investido</t>
  </si>
  <si>
    <t xml:space="preserve">Valor atual</t>
  </si>
  <si>
    <t xml:space="preserve">Rentabilidade</t>
  </si>
  <si>
    <t xml:space="preserve">Peso na carteira</t>
  </si>
  <si>
    <t xml:space="preserve">RESUMO DA CARTEIRA</t>
  </si>
  <si>
    <t xml:space="preserve">Rentabilidade total</t>
  </si>
  <si>
    <t xml:space="preserve">Ativos cadastrados</t>
  </si>
  <si>
    <t xml:space="preserve">PATRIMÔNIO</t>
  </si>
  <si>
    <t xml:space="preserve">RESUMO</t>
  </si>
  <si>
    <t xml:space="preserve">Total de ativos</t>
  </si>
  <si>
    <t xml:space="preserve">Total de passivos</t>
  </si>
  <si>
    <t xml:space="preserve">Patrimônio líquido</t>
  </si>
  <si>
    <t xml:space="preserve">METAS FINANCEIRAS</t>
  </si>
  <si>
    <t xml:space="preserve">Meta</t>
  </si>
  <si>
    <t xml:space="preserve">Valor alvo</t>
  </si>
  <si>
    <t xml:space="preserve">Progresso</t>
  </si>
  <si>
    <t xml:space="preserve">Prazo</t>
  </si>
  <si>
    <t xml:space="preserve">Simuladores Financeiros</t>
  </si>
  <si>
    <t xml:space="preserve">Use os campos de entrada para testar cenários. Os resultados são estimativas matemáticas.</t>
  </si>
  <si>
    <t xml:space="preserve">Valor inicial</t>
  </si>
  <si>
    <t xml:space="preserve">Aporte mensal</t>
  </si>
  <si>
    <t xml:space="preserve">Rentabilidade mensal</t>
  </si>
  <si>
    <t xml:space="preserve">Prazo (meses)</t>
  </si>
  <si>
    <t xml:space="preserve">Total investido</t>
  </si>
  <si>
    <t xml:space="preserve">Rendimentos</t>
  </si>
  <si>
    <t xml:space="preserve">Patrimônio final</t>
  </si>
  <si>
    <t xml:space="preserve">Planejamento de Meta</t>
  </si>
  <si>
    <t xml:space="preserve">Valor da meta</t>
  </si>
  <si>
    <t xml:space="preserve">Aporte mensal necessário</t>
  </si>
  <si>
    <t xml:space="preserve">Planejamento Mensal</t>
  </si>
  <si>
    <t xml:space="preserve">Orçamento</t>
  </si>
  <si>
    <t xml:space="preserve">Realizado</t>
  </si>
  <si>
    <t xml:space="preserve">Diferença</t>
  </si>
  <si>
    <t xml:space="preserve">% Utilizado</t>
  </si>
  <si>
    <t xml:space="preserve">Status</t>
  </si>
  <si>
    <t xml:space="preserve">EVOLUÇÃO DO PATRIMÔNIO</t>
  </si>
  <si>
    <t xml:space="preserve">Mês</t>
  </si>
  <si>
    <t xml:space="preserve">Ativos</t>
  </si>
  <si>
    <t xml:space="preserve">Passivos</t>
  </si>
  <si>
    <t xml:space="preserve">Patrimônio Líquido</t>
  </si>
  <si>
    <t xml:space="preserve">Como usar</t>
  </si>
  <si>
    <t xml:space="preserve">Registre uma linha ao fim de cada mês para acompanhar a evolução do patrimônio líquido.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</si>
</sst>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"/>
    <numFmt numFmtId="166" formatCode="mmmm/yyyy"/>
    <numFmt numFmtId="167" formatCode="mm/yyyy"/>
    <numFmt numFmtId="168" formatCode="0.0%"/>
    <numFmt numFmtId="169" formatCode="dd/mm/yyyy"/>
    <numFmt numFmtId="170" formatCode="0"/>
    <numFmt numFmtId="171" formatCode="mmm/yy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mbria"/>
      <family val="0"/>
      <charset val="1"/>
    </font>
    <font>
      <b val="true"/>
      <sz val="14"/>
      <color rgb="FF243447"/>
      <name val="Cambria"/>
      <family val="0"/>
      <charset val="1"/>
    </font>
    <font>
      <b val="true"/>
      <sz val="15"/>
      <color rgb="FF17365D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u val="single"/>
      <sz val="11"/>
      <color rgb="FF0563C1"/>
      <name val="Cambria"/>
      <family val="0"/>
      <charset val="1"/>
    </font>
    <font>
      <b val="true"/>
      <sz val="22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u val="single"/>
      <sz val="13"/>
      <color rgb="FF0563C1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243447"/>
      <name val="Cambria"/>
      <family val="0"/>
      <charset val="1"/>
    </font>
    <font>
      <b val="true"/>
      <sz val="14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color rgb="FF243447"/>
      <name val="Cambria"/>
      <family val="0"/>
      <charset val="1"/>
    </font>
    <font>
      <sz val="11"/>
      <name val="Calibri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243447"/>
      <name val="Cambria"/>
      <family val="0"/>
      <charset val="1"/>
    </font>
    <font>
      <b val="true"/>
      <sz val="14"/>
      <color rgb="FF17365D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243447"/>
      </patternFill>
    </fill>
    <fill>
      <patternFill patternType="solid">
        <fgColor rgb="FF2F75B5"/>
        <bgColor rgb="FF4A7EBB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2F3"/>
      </patternFill>
    </fill>
    <fill>
      <patternFill patternType="solid">
        <fgColor rgb="FF1F4E78"/>
        <bgColor rgb="FF17365D"/>
      </patternFill>
    </fill>
    <fill>
      <patternFill patternType="solid">
        <fgColor rgb="FFF7FAFC"/>
        <bgColor rgb="FFF8FBFD"/>
      </patternFill>
    </fill>
    <fill>
      <patternFill patternType="solid">
        <fgColor rgb="FFF8FBFD"/>
        <bgColor rgb="FFF7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7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8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8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8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0" fillId="8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8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6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75B5"/>
          <bgColor rgb="FF000000"/>
        </patternFill>
      </fill>
    </dxf>
    <dxf>
      <fill>
        <patternFill patternType="solid">
          <fgColor rgb="FFF8FBF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F0D9"/>
      <rgbColor rgb="FFF7FAFC"/>
      <rgbColor rgb="FFF8FBFD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FF6600"/>
      <rgbColor rgb="FF4A7EBB"/>
      <rgbColor rgb="FF70AD47"/>
      <rgbColor rgb="FF17365D"/>
      <rgbColor rgb="FF339966"/>
      <rgbColor rgb="FF003300"/>
      <rgbColor rgb="FF333300"/>
      <rgbColor rgb="FF993300"/>
      <rgbColor rgb="FF993366"/>
      <rgbColor rgb="FF1F4E78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Patrimônio líquido ao longo do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'Histórico Patrimonial'!D3</c:f>
              <c:strCache>
                <c:ptCount val="1"/>
                <c:pt idx="0">
                  <c:v>Patrimônio Líquido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'Histórico Patrimonial'!$A$4:$A$9</c:f>
              <c:strCache>
                <c:ptCount val="6"/>
                <c:pt idx="0">
                  <c:v>Apr/2026</c:v>
                </c:pt>
                <c:pt idx="1">
                  <c:v>May/2026</c:v>
                </c:pt>
                <c:pt idx="2">
                  <c:v>Jun/2026</c:v>
                </c:pt>
                <c:pt idx="3">
                  <c:v>Jul/2026</c:v>
                </c:pt>
                <c:pt idx="4">
                  <c:v>Aug/2026</c:v>
                </c:pt>
                <c:pt idx="5">
                  <c:v>Sep/2026</c:v>
                </c:pt>
              </c:strCache>
            </c:strRef>
          </c:cat>
          <c:val>
            <c:numRef>
              <c:f>'Histórico Patrimonial'!$D$4:$D$9</c:f>
              <c:numCache>
                <c:formatCode>"R$ "#,##0.00</c:formatCode>
                <c:ptCount val="6"/>
                <c:pt idx="0">
                  <c:v>240000</c:v>
                </c:pt>
                <c:pt idx="1">
                  <c:v>270000</c:v>
                </c:pt>
                <c:pt idx="2">
                  <c:v>300000</c:v>
                </c:pt>
                <c:pt idx="3">
                  <c:v>325000</c:v>
                </c:pt>
                <c:pt idx="4">
                  <c:v>355000</c:v>
                </c:pt>
                <c:pt idx="5">
                  <c:v>340000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933800"/>
        <c:axId val="50172924"/>
      </c:lineChart>
      <c:catAx>
        <c:axId val="18933800"/>
        <c:scaling>
          <c:orientation val="minMax"/>
        </c:scaling>
        <c:delete val="0"/>
        <c:axPos val="b"/>
        <c:numFmt formatCode="mmm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172924"/>
        <c:crosses val="autoZero"/>
        <c:auto val="1"/>
        <c:lblAlgn val="ctr"/>
        <c:lblOffset val="100"/>
        <c:noMultiLvlLbl val="0"/>
      </c:catAx>
      <c:valAx>
        <c:axId val="50172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9338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70200</xdr:rowOff>
    </xdr:from>
    <xdr:to>
      <xdr:col>13</xdr:col>
      <xdr:colOff>507240</xdr:colOff>
      <xdr:row>14</xdr:row>
      <xdr:rowOff>133560</xdr:rowOff>
    </xdr:to>
    <xdr:graphicFrame>
      <xdr:nvGraphicFramePr>
        <xdr:cNvPr id="0" name="Chart 1"/>
        <xdr:cNvGraphicFramePr/>
      </xdr:nvGraphicFramePr>
      <xdr:xfrm>
        <a:off x="3057480" y="375120"/>
        <a:ext cx="5399280" cy="28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'1.0' encoding='utf-8'?>
<ns0:Relationships xmlns:ns0="http://schemas.openxmlformats.org/package/2006/relationships"><ns0:Relationship Id="rId2" Type="http://schemas.openxmlformats.org/officeDocument/2006/relationships/drawing" Target="../drawings/drawing2.xml" />
</ns0:Relationships>
</file>

<file path=xl/worksheets/_rels/sheet8.xml.rels><?xml version='1.0' encoding='utf-8'?>
<ns0:Relationships xmlns:ns0="http://schemas.openxmlformats.org/package/2006/relationships"><ns0:Relationship Id="rId2" Type="http://schemas.openxmlformats.org/officeDocument/2006/relationships/drawing" Target="../drawings/drawing3.xml" />
</ns0: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'1.0' encoding='utf-8'?>
<ns0:Relationships xmlns:ns0="http://schemas.openxmlformats.org/package/2006/relationships"><ns0:Relationship Id="rId2" Type="http://schemas.openxmlformats.org/officeDocument/2006/relationships/drawing" Target="../drawings/drawing5.xml" />
</ns0:Relationships>
</file>

<file path=xl/worksheets/_rels/sheet11.xml.rels><?xml version='1.0' encoding='utf-8'?>
<ns0:Relationships xmlns:ns0="http://schemas.openxmlformats.org/package/2006/relationships"><ns0:Relationship Id="rId2" Type="http://schemas.openxmlformats.org/officeDocument/2006/relationships/drawing" Target="../drawings/drawing6.xml" />
</ns0:Relationships>
</file>

<file path=xl/worksheets/_rels/sheet13.xml.rels><?xml version='1.0' encoding='utf-8'?>
<ns0:Relationships xmlns:ns0="http://schemas.openxmlformats.org/package/2006/relationships"><ns0:Relationship Id="rId2" Type="http://schemas.openxmlformats.org/officeDocument/2006/relationships/drawing" Target="../drawings/drawing7.xml" />
</ns0:Relationships>
</file>

<file path=xl/worksheets/_rels/sheet14.xml.rels><?xml version='1.0' encoding='utf-8'?>
<ns0:Relationships xmlns:ns0="http://schemas.openxmlformats.org/package/2006/relationships"><ns0:Relationship Id="rId2" Type="http://schemas.openxmlformats.org/officeDocument/2006/relationships/drawing" Target="../drawings/drawing8.xml" />
</ns0:Relationships>
</file>

<file path=xl/worksheets/sheet1.xml><?xml version="1.0" encoding="utf-8"?>
<ns0:worksheet xmlns:ns0="http://schemas.openxmlformats.org/spreadsheetml/2006/main">
  <ns0:sheetPr filterMode="false">
    <ns0:tabColor rgb="FF17365D"/>
    <ns0:pageSetUpPr fitToPage="true"/>
  </ns0:sheetPr>
  <ns0:dimension ref="A1:H23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true" zeroHeight="false" outlineLevelRow="0" outlineLevelCol="0"/>
  <ns0:sheetData>
    <ns0:row r="1" customFormat="false" ht="42" hidden="false" customHeight="true" outlineLevel="0" collapsed="false">
      <ns0:c r="A1" s="1" t="s">
        <ns0:v>0</ns0:v>
      </ns0:c>
      <ns0:c r="B1" s="1"/>
      <ns0:c r="C1" s="1"/>
      <ns0:c r="D1" s="1"/>
      <ns0:c r="E1" s="1"/>
      <ns0:c r="F1" s="1"/>
      <ns0:c r="G1" s="1"/>
      <ns0:c r="H1" s="1"/>
    </ns0:row>
    <ns0:row r="2" customFormat="false" ht="15" hidden="false" customHeight="true" outlineLevel="0" collapsed="false">
      <ns0:c r="A2" s="2"/>
      <ns0:c r="B2" s="2"/>
      <ns0:c r="C2" s="2"/>
      <ns0:c r="D2" s="2"/>
      <ns0:c r="E2" s="2"/>
      <ns0:c r="F2" s="2"/>
      <ns0:c r="G2" s="2"/>
      <ns0:c r="H2" s="2"/>
    </ns0:row>
    <ns0:row r="3" customFormat="false" ht="17.25" hidden="false" customHeight="true" outlineLevel="0" collapsed="false">
      <ns0:c r="A3" s="3" t="s">
        <ns0:v>1</ns0:v>
      </ns0:c>
      <ns0:c r="B3" s="3"/>
      <ns0:c r="C3" s="3"/>
      <ns0:c r="D3" s="3"/>
      <ns0:c r="E3" s="3"/>
      <ns0:c r="F3" s="3"/>
      <ns0:c r="G3" s="3"/>
      <ns0:c r="H3" s="3"/>
    </ns0:row>
    <ns0:row r="4" customFormat="false" ht="15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8" hidden="false" customHeight="true" outlineLevel="0" collapsed="false">
      <ns0:c r="A5" s="4" t="s">
        <ns0:v>2</ns0:v>
      </ns0:c>
      <ns0:c r="B5" s="2"/>
      <ns0:c r="C5" s="2"/>
      <ns0:c r="D5" s="2"/>
      <ns0:c r="E5" s="2"/>
      <ns0:c r="F5" s="2"/>
      <ns0:c r="G5" s="2"/>
      <ns0:c r="H5" s="2"/>
    </ns0:row>
    <ns0:row r="6" customFormat="false" ht="15" hidden="false" customHeight="true" outlineLevel="0" collapsed="false">
      <ns0:c r="A6" s="2"/>
      <ns0:c r="B6" s="2"/>
      <ns0:c r="C6" s="2"/>
      <ns0:c r="D6" s="2"/>
      <ns0:c r="E6" s="2"/>
      <ns0:c r="F6" s="2"/>
      <ns0:c r="G6" s="2"/>
      <ns0:c r="H6" s="2"/>
    </ns0:row>
    <ns0:row r="7" customFormat="false" ht="30" hidden="false" customHeight="true" outlineLevel="0" collapsed="false">
      <ns0:c r="A7" s="5" t="s">
        <ns0:v>3</ns0:v>
      </ns0:c>
      <ns0:c r="B7" s="105" t="s">
        <ns0:v>4</ns0:v>
      </ns0:c>
      <ns0:c r="C7" s="6"/>
      <ns0:c r="D7" s="7" t="s">
        <ns0:v>5</ns0:v>
      </ns0:c>
      <ns0:c r="E7" s="7"/>
      <ns0:c r="F7" s="7"/>
      <ns0:c r="G7" s="7"/>
      <ns0:c r="H7" s="7"/>
    </ns0:row>
    <ns0:row r="8" customFormat="false" ht="30" hidden="false" customHeight="true" outlineLevel="0" collapsed="false">
      <ns0:c r="A8" s="5" t="s">
        <ns0:v>6</ns0:v>
      </ns0:c>
      <ns0:c r="B8" s="105" t="s">
        <ns0:v>7</ns0:v>
      </ns0:c>
      <ns0:c r="C8" s="6"/>
      <ns0:c r="D8" s="7" t="s">
        <ns0:v>8</ns0:v>
      </ns0:c>
      <ns0:c r="E8" s="7"/>
      <ns0:c r="F8" s="7"/>
      <ns0:c r="G8" s="7"/>
      <ns0:c r="H8" s="7"/>
    </ns0:row>
    <ns0:row r="9" customFormat="false" ht="30" hidden="false" customHeight="true" outlineLevel="0" collapsed="false">
      <ns0:c r="A9" s="5"/>
      <ns0:c r="B9" s="6"/>
      <ns0:c r="C9" s="2"/>
      <ns0:c r="D9" s="8"/>
      <ns0:c r="E9" s="2"/>
      <ns0:c r="F9" s="2"/>
      <ns0:c r="G9" s="2"/>
      <ns0:c r="H9" s="2"/>
    </ns0:row>
    <ns0:row r="10" customFormat="false" ht="30" hidden="false" customHeight="true" outlineLevel="0" collapsed="false">
      <ns0:c r="A10" s="5"/>
      <ns0:c r="B10" s="6"/>
      <ns0:c r="C10" s="2"/>
      <ns0:c r="D10" s="8"/>
      <ns0:c r="E10" s="2"/>
      <ns0:c r="F10" s="2"/>
      <ns0:c r="G10" s="2"/>
      <ns0:c r="H10" s="2"/>
    </ns0:row>
    <ns0:row r="11" customFormat="false" ht="30" hidden="false" customHeight="true" outlineLevel="0" collapsed="false">
      <ns0:c r="A11" s="9" t="s">
        <ns0:v>9</ns0:v>
      </ns0:c>
      <ns0:c r="B11" s="6"/>
      <ns0:c r="C11" s="2"/>
      <ns0:c r="D11" s="8"/>
      <ns0:c r="E11" s="2"/>
      <ns0:c r="F11" s="2"/>
      <ns0:c r="G11" s="2"/>
      <ns0:c r="H11" s="2"/>
    </ns0:row>
    <ns0:row r="12" customFormat="false" ht="30" hidden="false" customHeight="true" outlineLevel="0" collapsed="false">
      <ns0:c r="A12" s="5"/>
      <ns0:c r="B12" s="6"/>
      <ns0:c r="C12" s="2"/>
      <ns0:c r="D12" s="8"/>
      <ns0:c r="E12" s="2"/>
      <ns0:c r="F12" s="2"/>
      <ns0:c r="G12" s="2"/>
      <ns0:c r="H12" s="2"/>
    </ns0:row>
    <ns0:row r="13" customFormat="false" ht="15" hidden="false" customHeight="true" outlineLevel="0" collapsed="false">
      <ns0:c r="A13" s="10" t="s">
        <ns0:v>10</ns0:v>
      </ns0:c>
      <ns0:c r="B13" s="10"/>
      <ns0:c r="C13" s="10"/>
      <ns0:c r="D13" s="10"/>
      <ns0:c r="E13" s="10"/>
      <ns0:c r="F13" s="10"/>
      <ns0:c r="G13" s="10"/>
      <ns0:c r="H13" s="10"/>
    </ns0:row>
    <ns0:row r="14" customFormat="false" ht="15" hidden="false" customHeight="true" outlineLevel="0" collapsed="false">
      <ns0:c r="A14" s="10" t="s">
        <ns0:v>11</ns0:v>
      </ns0:c>
      <ns0:c r="B14" s="10"/>
      <ns0:c r="C14" s="10"/>
      <ns0:c r="D14" s="10"/>
      <ns0:c r="E14" s="10"/>
      <ns0:c r="F14" s="10"/>
      <ns0:c r="G14" s="10"/>
      <ns0:c r="H14" s="10"/>
    </ns0:row>
    <ns0:row r="15" customFormat="false" ht="18" hidden="false" customHeight="true" outlineLevel="0" collapsed="false">
      <ns0:c r="A15" s="11" t="s">
        <ns0:v>12</ns0:v>
      </ns0:c>
      <ns0:c r="B15" s="11"/>
      <ns0:c r="C15" s="11"/>
      <ns0:c r="D15" s="11"/>
      <ns0:c r="E15" s="11"/>
      <ns0:c r="F15" s="11"/>
      <ns0:c r="G15" s="11"/>
      <ns0:c r="H15" s="11"/>
    </ns0:row>
    <ns0:row r="16" customFormat="false" ht="15" hidden="false" customHeight="true" outlineLevel="0" collapsed="false">
      <ns0:c r="A16" s="12" t="s">
        <ns0:v>13</ns0:v>
      </ns0:c>
      <ns0:c r="B16" s="12"/>
      <ns0:c r="C16" s="12"/>
      <ns0:c r="D16" s="12"/>
      <ns0:c r="E16" s="12"/>
      <ns0:c r="F16" s="12"/>
      <ns0:c r="G16" s="12"/>
      <ns0:c r="H16" s="12"/>
    </ns0:row>
    <ns0:row r="17" customFormat="false" ht="15" hidden="false" customHeight="true" outlineLevel="0" collapsed="false">
      <ns0:c r="A17" s="2"/>
      <ns0:c r="B17" s="2"/>
      <ns0:c r="C17" s="2"/>
      <ns0:c r="D17" s="2"/>
      <ns0:c r="E17" s="2"/>
      <ns0:c r="F17" s="2"/>
      <ns0:c r="G17" s="2"/>
      <ns0:c r="H17" s="2"/>
    </ns0:row>
    <ns0:row r="18" customFormat="false" ht="35.25" hidden="false" customHeight="true" outlineLevel="0" collapsed="false">
      <ns0:c r="A18" s="13" t="s">
        <ns0:v>14</ns0:v>
      </ns0:c>
      <ns0:c r="B18" s="2"/>
      <ns0:c r="C18" s="2"/>
      <ns0:c r="D18" s="2"/>
      <ns0:c r="E18" s="2"/>
      <ns0:c r="F18" s="2"/>
      <ns0:c r="G18" s="2"/>
      <ns0:c r="H18" s="2"/>
    </ns0:row>
    <ns0:row r="19" customFormat="false" ht="15" hidden="false" customHeight="true" outlineLevel="0" collapsed="false">
      <ns0:c r="A19" s="14"/>
      <ns0:c r="B19" s="2"/>
      <ns0:c r="C19" s="2"/>
      <ns0:c r="D19" s="2"/>
      <ns0:c r="E19" s="2"/>
      <ns0:c r="F19" s="2"/>
      <ns0:c r="G19" s="2"/>
      <ns0:c r="H19" s="2"/>
    </ns0:row>
    <ns0:row r="20" customFormat="false" ht="15" hidden="false" customHeight="true" outlineLevel="0" collapsed="false">
      <ns0:c r="A20" s="12" t="s">
        <ns0:v>15</ns0:v>
      </ns0:c>
      <ns0:c r="B20" s="12"/>
      <ns0:c r="C20" s="12"/>
      <ns0:c r="D20" s="12"/>
      <ns0:c r="E20" s="12"/>
      <ns0:c r="F20" s="12"/>
      <ns0:c r="G20" s="12"/>
      <ns0:c r="H20" s="12"/>
    </ns0:row>
    <ns0:row r="21" customFormat="false" ht="15" hidden="false" customHeight="true" outlineLevel="0" collapsed="false">
      <ns0:c r="A21" s="12"/>
      <ns0:c r="B21" s="12"/>
      <ns0:c r="C21" s="12"/>
      <ns0:c r="D21" s="12"/>
      <ns0:c r="E21" s="12"/>
      <ns0:c r="F21" s="12"/>
      <ns0:c r="G21" s="12"/>
      <ns0:c r="H21" s="12"/>
    </ns0:row>
    <ns0:row r="22" customFormat="false" ht="15" hidden="false" customHeight="true" outlineLevel="0" collapsed="false">
      <ns0:c r="A22" s="12"/>
      <ns0:c r="B22" s="12"/>
      <ns0:c r="C22" s="12"/>
      <ns0:c r="D22" s="12"/>
      <ns0:c r="E22" s="12"/>
      <ns0:c r="F22" s="12"/>
      <ns0:c r="G22" s="12"/>
      <ns0:c r="H22" s="12"/>
    </ns0:row>
    <ns0:row r="23" customFormat="false" ht="15" hidden="false" customHeight="true" outlineLevel="0" collapsed="false">
      <ns0:c r="A23" s="12"/>
      <ns0:c r="B23" s="12"/>
      <ns0:c r="C23" s="12"/>
      <ns0:c r="D23" s="12"/>
      <ns0:c r="E23" s="12"/>
      <ns0:c r="F23" s="12"/>
      <ns0:c r="G23" s="12"/>
      <ns0:c r="H23" s="12"/>
    </ns0:row>
  </ns0:sheetData>
  <ns0:sheetProtection sheet="true" password="f1c2" objects="true" scenarios="true"/>
  <ns0:mergeCells count="11">
    <ns0:mergeCell ref="A1:H1"/>
    <ns0:mergeCell ref="A3:H3"/>
    <ns0:mergeCell ref="B7:C7"/>
    <ns0:mergeCell ref="D7:H7"/>
    <ns0:mergeCell ref="B8:C8"/>
    <ns0:mergeCell ref="D8:H8"/>
    <ns0:mergeCell ref="A13:H13"/>
    <ns0:mergeCell ref="A14:H14"/>
    <ns0:mergeCell ref="A15:H15"/>
    <ns0:mergeCell ref="A16:H16"/>
    <ns0:mergeCell ref="A20:H23"/>
  </ns0:mergeCells>
  <ns0:hyperlinks>
    <ns0:hyperlink ref="B7" location="'Lançamentos'!A1" display="Lançamentos"/>
    <ns0:hyperlink ref="B8" location="'Dashboard'!A1" display="Dashboard"/>
  </ns0:hyperlinks>
  <ns0:printOptions headings="false" gridLines="false" gridLinesSet="true" horizontalCentered="false" verticalCentered="false"/>
  <ns0:pageMargins left="0.75" right="0.75" top="1" bottom="1" header="0.511811023622047" footer="0.511811023622047"/>
  <ns0:pageSetup paperSize="1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tabColor rgb="FF2F75B5"/>
    <ns0:pageSetUpPr fitToPage="true"/>
  </ns0:sheetPr>
  <ns0:dimension ref="A1:F12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true" zeroHeight="false" outlineLevelRow="0" outlineLevelCol="0"/>
  <ns0:sheetData>
    <ns0:row r="1" customFormat="false" ht="37.5" hidden="false" customHeight="true" outlineLevel="0" collapsed="false">
      <ns0:c r="A1" s="15" t="s">
        <ns0:v>16</ns0:v>
      </ns0:c>
      <ns0:c r="B1" s="15"/>
      <ns0:c r="C1" s="15"/>
      <ns0:c r="D1" s="15"/>
      <ns0:c r="E1" s="15"/>
      <ns0:c r="F1" s="15"/>
    </ns0:row>
    <ns0:row r="2" customFormat="false" ht="15" hidden="false" customHeight="true" outlineLevel="0" collapsed="false">
      <ns0:c r="A2" s="2"/>
      <ns0:c r="B2" s="2"/>
      <ns0:c r="C2" s="2"/>
      <ns0:c r="D2" s="2"/>
      <ns0:c r="E2" s="2"/>
    </ns0:row>
    <ns0:row r="3" customFormat="false" ht="15" hidden="false" customHeight="true" outlineLevel="0" collapsed="false">
      <ns0:c r="A3" s="16" t="s">
        <ns0:v>17</ns0:v>
      </ns0:c>
      <ns0:c r="B3" s="16"/>
      <ns0:c r="C3" s="16"/>
      <ns0:c r="D3" s="16"/>
      <ns0:c r="E3" s="16"/>
      <ns0:c r="F3" s="16"/>
    </ns0:row>
    <ns0:row r="4" customFormat="false" ht="15" hidden="false" customHeight="true" outlineLevel="0" collapsed="false">
      <ns0:c r="A4" s="16"/>
      <ns0:c r="B4" s="16"/>
      <ns0:c r="C4" s="16"/>
      <ns0:c r="D4" s="16"/>
      <ns0:c r="E4" s="16"/>
      <ns0:c r="F4" s="16"/>
    </ns0:row>
    <ns0:row r="5" customFormat="false" ht="15" hidden="false" customHeight="true" outlineLevel="0" collapsed="false">
      <ns0:c r="A5" s="16"/>
      <ns0:c r="B5" s="16"/>
      <ns0:c r="C5" s="16"/>
      <ns0:c r="D5" s="16"/>
      <ns0:c r="E5" s="16"/>
      <ns0:c r="F5" s="16"/>
    </ns0:row>
    <ns0:row r="6" customFormat="false" ht="15" hidden="false" customHeight="true" outlineLevel="0" collapsed="false">
      <ns0:c r="A6" s="17"/>
      <ns0:c r="B6" s="18"/>
      <ns0:c r="C6" s="2"/>
      <ns0:c r="D6" s="19"/>
      <ns0:c r="E6" s="19"/>
    </ns0:row>
    <ns0:row r="7" customFormat="false" ht="15" hidden="false" customHeight="true" outlineLevel="0" collapsed="false">
      <ns0:c r="A7" s="106" t="s">
        <ns0:v>18</ns0:v>
      </ns0:c>
      <ns0:c r="B7" s="18"/>
      <ns0:c r="C7" s="2"/>
      <ns0:c r="D7" s="19"/>
      <ns0:c r="E7" s="19"/>
    </ns0:row>
    <ns0:row r="8" customFormat="false" ht="15" hidden="false" customHeight="true" outlineLevel="0" collapsed="false">
      <ns0:c r="A8" s="17"/>
      <ns0:c r="B8" s="18"/>
      <ns0:c r="C8" s="2"/>
      <ns0:c r="D8" s="19"/>
      <ns0:c r="E8" s="19"/>
    </ns0:row>
    <ns0:row r="9" customFormat="false" ht="15" hidden="false" customHeight="true" outlineLevel="0" collapsed="false">
      <ns0:c r="A9" s="17"/>
      <ns0:c r="B9" s="18"/>
      <ns0:c r="C9" s="2"/>
      <ns0:c r="D9" s="19"/>
      <ns0:c r="E9" s="21"/>
    </ns0:row>
    <ns0:row r="10" customFormat="false" ht="15" hidden="false" customHeight="true" outlineLevel="0" collapsed="false">
      <ns0:c r="A10" s="17"/>
      <ns0:c r="B10" s="22"/>
      <ns0:c r="C10" s="2"/>
      <ns0:c r="D10" s="2"/>
      <ns0:c r="E10" s="2"/>
    </ns0:row>
    <ns0:row r="12" customFormat="false" ht="15" hidden="false" customHeight="true" outlineLevel="0" collapsed="false">
      <ns0:c r="A12" s="23"/>
    </ns0:row>
  </ns0:sheetData>
  <ns0:sheetProtection sheet="true" password="f1c2" objects="true" scenarios="true"/>
  <ns0:mergeCells count="2">
    <ns0:mergeCell ref="A1:F1"/>
    <ns0:mergeCell ref="A3:F5"/>
  </ns0:mergeCells>
  <ns0:hyperlinks>
    <ns0:hyperlink ref="A7" location="'Lançamentos'!A1" display="→ ABRIR LANÇAMENTOS"/>
  </ns0:hyperlinks>
  <ns0:printOptions headings="false" gridLines="false" gridLinesSet="true" horizontalCentered="false" verticalCentered="false"/>
  <ns0:pageMargins left="0.75" right="0.75" top="1" bottom="1" header="0.511811023622047" footer="0.511811023622047"/>
  <ns0:pageSetup paperSize="1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24" width="22"/>
  </cols>
  <sheetData>
    <row r="1" customFormat="false" ht="31.5" hidden="false" customHeight="true" outlineLevel="0" collapsed="false">
      <c r="A1" s="25" t="s">
        <v>19</v>
      </c>
      <c r="B1" s="25"/>
      <c r="C1" s="25"/>
      <c r="D1" s="25"/>
      <c r="E1" s="25"/>
      <c r="F1" s="25"/>
    </row>
    <row r="2" customFormat="false" ht="15" hidden="false" customHeight="true" outlineLevel="0" collapsed="false">
      <c r="A2" s="26"/>
      <c r="B2" s="26"/>
    </row>
    <row r="3" customFormat="false" ht="42" hidden="false" customHeight="true" outlineLevel="0" collapsed="false">
      <c r="A3" s="27" t="s">
        <v>20</v>
      </c>
      <c r="B3" s="16" t="s">
        <v>21</v>
      </c>
      <c r="C3" s="16"/>
      <c r="D3" s="16"/>
      <c r="E3" s="16"/>
      <c r="F3" s="16"/>
    </row>
    <row r="4" customFormat="false" ht="15" hidden="false" customHeight="true" outlineLevel="0" collapsed="false">
      <c r="A4" s="26"/>
      <c r="B4" s="26"/>
    </row>
    <row r="5" customFormat="false" ht="42" hidden="false" customHeight="true" outlineLevel="0" collapsed="false">
      <c r="A5" s="27" t="s">
        <v>22</v>
      </c>
      <c r="B5" s="16" t="s">
        <v>23</v>
      </c>
      <c r="C5" s="16"/>
      <c r="D5" s="16"/>
      <c r="E5" s="16"/>
      <c r="F5" s="16"/>
    </row>
    <row r="6" customFormat="false" ht="15" hidden="false" customHeight="true" outlineLevel="0" collapsed="false">
      <c r="A6" s="26"/>
      <c r="B6" s="26"/>
    </row>
    <row r="7" customFormat="false" ht="42" hidden="false" customHeight="true" outlineLevel="0" collapsed="false">
      <c r="A7" s="27" t="s">
        <v>24</v>
      </c>
      <c r="B7" s="16" t="s">
        <v>25</v>
      </c>
      <c r="C7" s="16"/>
      <c r="D7" s="16"/>
      <c r="E7" s="16"/>
      <c r="F7" s="16"/>
    </row>
    <row r="8" customFormat="false" ht="15" hidden="false" customHeight="true" outlineLevel="0" collapsed="false">
      <c r="A8" s="26"/>
      <c r="B8" s="26"/>
    </row>
    <row r="9" customFormat="false" ht="42" hidden="false" customHeight="true" outlineLevel="0" collapsed="false">
      <c r="A9" s="27" t="s">
        <v>26</v>
      </c>
      <c r="B9" s="16" t="s">
        <v>27</v>
      </c>
      <c r="C9" s="16"/>
      <c r="D9" s="16"/>
      <c r="E9" s="16"/>
      <c r="F9" s="16"/>
    </row>
  </sheetData>
  <sheetProtection sheet="true" password="f1c2" objects="true" scenarios="true"/>
  <mergeCells count="5">
    <mergeCell ref="A1:F1"/>
    <mergeCell ref="B3:F3"/>
    <mergeCell ref="B5:F5"/>
    <mergeCell ref="B7:F7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25"/>
    <col collapsed="false" customWidth="true" hidden="false" outlineLevel="0" max="3" min="2" style="24" width="18"/>
    <col collapsed="false" customWidth="true" hidden="false" outlineLevel="0" max="8" min="4" style="24" width="15"/>
  </cols>
  <sheetData>
    <row r="1" customFormat="false" ht="42" hidden="false" customHeight="true" outlineLevel="0" collapsed="false">
      <c r="A1" s="28" t="s">
        <v>0</v>
      </c>
      <c r="B1" s="28"/>
      <c r="C1" s="28"/>
      <c r="D1" s="28"/>
      <c r="E1" s="28"/>
      <c r="F1" s="28"/>
      <c r="G1" s="28"/>
      <c r="H1" s="28"/>
    </row>
    <row r="2" customFormat="false" ht="15" hidden="false" customHeight="true" outlineLevel="0" collapsed="false">
      <c r="A2" s="29" t="s">
        <v>28</v>
      </c>
      <c r="B2" s="30"/>
      <c r="C2" s="26"/>
      <c r="D2" s="26"/>
      <c r="E2" s="26"/>
      <c r="F2" s="26"/>
      <c r="G2" s="31" t="s">
        <v>29</v>
      </c>
      <c r="H2" s="32" t="n">
        <v>46266</v>
      </c>
    </row>
    <row r="3" customFormat="false" ht="17.25" hidden="false" customHeight="true" outlineLevel="0" collapsed="false">
      <c r="A3" s="33"/>
      <c r="B3" s="26"/>
      <c r="C3" s="26"/>
      <c r="D3" s="26"/>
      <c r="E3" s="26"/>
      <c r="F3" s="26"/>
      <c r="G3" s="26"/>
      <c r="H3" s="26"/>
    </row>
    <row r="4" customFormat="false" ht="15" hidden="false" customHeight="true" outlineLevel="0" collapsed="false">
      <c r="A4" s="34" t="s">
        <v>30</v>
      </c>
      <c r="B4" s="34"/>
      <c r="C4" s="34" t="s">
        <v>31</v>
      </c>
      <c r="D4" s="34"/>
      <c r="E4" s="34" t="s">
        <v>32</v>
      </c>
      <c r="F4" s="34"/>
      <c r="G4" s="34" t="s">
        <v>33</v>
      </c>
      <c r="H4" s="34"/>
    </row>
    <row r="5" customFormat="false" ht="19.5" hidden="false" customHeight="true" outlineLevel="0" collapsed="false">
      <c r="A5" s="35" t="n">
        <f aca="false">SUMIFS(Lançamentos!$F$5:$F$304,Lançamentos!$B$5:$B$304,"Receita",Lançamentos!$A$5:$A$304,"&gt;="&amp;$H$2,Lançamentos!$A$5:$A$304,"&lt;"&amp;EDATE($H$2,1))</f>
        <v>6000</v>
      </c>
      <c r="B5" s="35"/>
      <c r="C5" s="35" t="n">
        <f aca="false">SUMIFS(Lançamentos!$F$5:$F$304,Lançamentos!$B$5:$B$304,"Despesa",Lançamentos!$A$5:$A$304,"&gt;="&amp;$H$2,Lançamentos!$A$5:$A$304,"&lt;"&amp;EDATE($H$2,1))</f>
        <v>2450</v>
      </c>
      <c r="D5" s="35"/>
      <c r="E5" s="35" t="n">
        <f aca="false">A5-C5</f>
        <v>3550</v>
      </c>
      <c r="F5" s="35"/>
      <c r="G5" s="36" t="n">
        <f aca="false">IFERROR(E5/A5,0)</f>
        <v>0.591666666666667</v>
      </c>
      <c r="H5" s="36"/>
    </row>
    <row r="6" customFormat="false" ht="19.5" hidden="false" customHeight="true" outlineLevel="0" collapsed="false">
      <c r="A6" s="37"/>
      <c r="B6" s="26"/>
      <c r="C6" s="37"/>
      <c r="D6" s="26"/>
      <c r="E6" s="37"/>
      <c r="F6" s="26"/>
      <c r="G6" s="37"/>
      <c r="H6" s="26"/>
    </row>
    <row r="7" customFormat="false" ht="15" hidden="false" customHeight="true" outlineLevel="0" collapsed="false">
      <c r="A7" s="26"/>
      <c r="B7" s="26"/>
      <c r="C7" s="26"/>
      <c r="D7" s="26"/>
      <c r="E7" s="26"/>
      <c r="F7" s="26"/>
      <c r="G7" s="26"/>
      <c r="H7" s="26"/>
    </row>
    <row r="8" customFormat="false" ht="18" hidden="false" customHeight="true" outlineLevel="0" collapsed="false">
      <c r="A8" s="4" t="s">
        <v>34</v>
      </c>
      <c r="B8" s="26"/>
      <c r="C8" s="38" t="s">
        <v>35</v>
      </c>
      <c r="D8" s="39" t="s">
        <v>36</v>
      </c>
      <c r="E8" s="26"/>
      <c r="F8" s="26"/>
      <c r="G8" s="26"/>
      <c r="H8" s="26"/>
    </row>
    <row r="9" customFormat="false" ht="15" hidden="false" customHeight="true" outlineLevel="0" collapsed="false">
      <c r="A9" s="26"/>
      <c r="B9" s="26"/>
      <c r="C9" s="40" t="s">
        <v>37</v>
      </c>
      <c r="D9" s="26"/>
      <c r="E9" s="26"/>
      <c r="F9" s="26"/>
      <c r="G9" s="26"/>
      <c r="H9" s="26"/>
    </row>
    <row r="10" customFormat="false" ht="24" hidden="false" customHeight="true" outlineLevel="0" collapsed="false">
      <c r="A10" s="41" t="s">
        <v>38</v>
      </c>
      <c r="B10" s="42" t="n">
        <f aca="false">SUMIFS(Lançamentos!$F$5:$F$304,Lançamentos!$C$5:$C$304,A10,Lançamentos!$B$5:$B$304,"Despesa",Lançamentos!$A$5:$A$304,"&gt;="&amp;$H$2,Lançamentos!$A$5:$A$304,"&lt;"&amp;EDATE($H$2,1))</f>
        <v>700</v>
      </c>
      <c r="C10" s="43" t="str">
        <f aca="false">IF(B10=0,"",REPT("█",MAX(1,ROUND(B10/MAX($B$10:$B$19)*16,0))))</f>
        <v>████████████</v>
      </c>
      <c r="D10" s="44" t="s">
        <v>39</v>
      </c>
      <c r="E10" s="44"/>
      <c r="F10" s="44"/>
      <c r="G10" s="44"/>
      <c r="H10" s="44"/>
    </row>
    <row r="11" customFormat="false" ht="21.75" hidden="false" customHeight="true" outlineLevel="0" collapsed="false">
      <c r="A11" s="41" t="s">
        <v>40</v>
      </c>
      <c r="B11" s="42" t="n">
        <f aca="false">SUMIFS(Lançamentos!$F$5:$F$304,Lançamentos!$C$5:$C$304,A11,Lançamentos!$B$5:$B$304,"Despesa",Lançamentos!$A$5:$A$304,"&gt;="&amp;$H$2,Lançamentos!$A$5:$A$304,"&lt;"&amp;EDATE($H$2,1))</f>
        <v>900</v>
      </c>
      <c r="C11" s="43" t="str">
        <f aca="false">IF(B11=0,"",REPT("█",MAX(1,ROUND(B11/MAX($B$10:$B$19)*16,0))))</f>
        <v>████████████████</v>
      </c>
      <c r="D11" s="44"/>
      <c r="E11" s="44"/>
      <c r="F11" s="44"/>
      <c r="G11" s="44"/>
      <c r="H11" s="44"/>
    </row>
    <row r="12" customFormat="false" ht="21.75" hidden="false" customHeight="true" outlineLevel="0" collapsed="false">
      <c r="A12" s="41" t="s">
        <v>41</v>
      </c>
      <c r="B12" s="42" t="n">
        <f aca="false">SUMIFS(Lançamentos!$F$5:$F$304,Lançamentos!$C$5:$C$304,A12,Lançamentos!$B$5:$B$304,"Despesa",Lançamentos!$A$5:$A$304,"&gt;="&amp;$H$2,Lançamentos!$A$5:$A$304,"&lt;"&amp;EDATE($H$2,1))</f>
        <v>400</v>
      </c>
      <c r="C12" s="43" t="str">
        <f aca="false">IF(B12=0,"",REPT("█",MAX(1,ROUND(B12/MAX($B$10:$B$19)*16,0))))</f>
        <v>███████</v>
      </c>
      <c r="D12" s="44"/>
      <c r="E12" s="44"/>
      <c r="F12" s="44"/>
      <c r="G12" s="44"/>
      <c r="H12" s="44"/>
    </row>
    <row r="13" customFormat="false" ht="21.75" hidden="false" customHeight="true" outlineLevel="0" collapsed="false">
      <c r="A13" s="41" t="s">
        <v>42</v>
      </c>
      <c r="B13" s="42" t="n">
        <f aca="false">SUMIFS(Lançamentos!$F$5:$F$304,Lançamentos!$C$5:$C$304,A13,Lançamentos!$B$5:$B$304,"Despesa",Lançamentos!$A$5:$A$304,"&gt;="&amp;$H$2,Lançamentos!$A$5:$A$304,"&lt;"&amp;EDATE($H$2,1))</f>
        <v>0</v>
      </c>
      <c r="C13" s="43" t="str">
        <f aca="false">IF(B13=0,"",REPT("█",MAX(1,ROUND(B13/MAX($B$10:$B$19)*16,0))))</f>
        <v/>
      </c>
      <c r="D13" s="44"/>
      <c r="E13" s="44"/>
      <c r="F13" s="44"/>
      <c r="G13" s="44"/>
      <c r="H13" s="44"/>
    </row>
    <row r="14" customFormat="false" ht="21.75" hidden="false" customHeight="true" outlineLevel="0" collapsed="false">
      <c r="A14" s="45" t="s">
        <v>43</v>
      </c>
      <c r="B14" s="42" t="n">
        <f aca="false">SUMIFS(Lançamentos!$F$5:$F$304,Lançamentos!$C$5:$C$304,A14,Lançamentos!$B$5:$B$304,"Despesa",Lançamentos!$A$5:$A$304,"&gt;="&amp;$H$2,Lançamentos!$A$5:$A$304,"&lt;"&amp;EDATE($H$2,1))</f>
        <v>0</v>
      </c>
      <c r="C14" s="43" t="str">
        <f aca="false">IF(B14=0,"",REPT("█",MAX(1,ROUND(B14/MAX($B$10:$B$19)*16,0))))</f>
        <v/>
      </c>
      <c r="D14" s="44"/>
      <c r="E14" s="44"/>
      <c r="F14" s="44"/>
      <c r="G14" s="44"/>
      <c r="H14" s="44"/>
    </row>
    <row r="15" customFormat="false" ht="15" hidden="false" customHeight="true" outlineLevel="0" collapsed="false">
      <c r="A15" s="46" t="s">
        <v>44</v>
      </c>
      <c r="B15" s="42" t="n">
        <f aca="false">SUMIFS(Lançamentos!$F$5:$F$304,Lançamentos!$C$5:$C$304,A15,Lançamentos!$B$5:$B$304,"Despesa",Lançamentos!$A$5:$A$304,"&gt;="&amp;$H$2,Lançamentos!$A$5:$A$304,"&lt;"&amp;EDATE($H$2,1))</f>
        <v>300</v>
      </c>
      <c r="C15" s="43" t="str">
        <f aca="false">IF(B15=0,"",REPT("█",MAX(1,ROUND(B15/MAX($B$10:$B$19)*16,0))))</f>
        <v>█████</v>
      </c>
      <c r="D15" s="26"/>
      <c r="E15" s="26"/>
      <c r="F15" s="26"/>
      <c r="G15" s="26"/>
      <c r="H15" s="26"/>
    </row>
    <row r="16" customFormat="false" ht="18" hidden="false" customHeight="true" outlineLevel="0" collapsed="false">
      <c r="A16" s="4" t="s">
        <v>45</v>
      </c>
      <c r="B16" s="42" t="n">
        <f aca="false">SUMIFS(Lançamentos!$F$5:$F$304,Lançamentos!$C$5:$C$304,A16,Lançamentos!$B$5:$B$304,"Despesa",Lançamentos!$A$5:$A$304,"&gt;="&amp;$H$2,Lançamentos!$A$5:$A$304,"&lt;"&amp;EDATE($H$2,1))</f>
        <v>0</v>
      </c>
      <c r="C16" s="43" t="str">
        <f aca="false">IF(B16=0,"",REPT("█",MAX(1,ROUND(B16/MAX($B$10:$B$19)*16,0))))</f>
        <v/>
      </c>
      <c r="D16" s="39" t="s">
        <v>14</v>
      </c>
      <c r="E16" s="26"/>
      <c r="F16" s="26"/>
      <c r="G16" s="26"/>
      <c r="H16" s="26"/>
    </row>
    <row r="17" customFormat="false" ht="18" hidden="false" customHeight="true" outlineLevel="0" collapsed="false">
      <c r="A17" s="4" t="s">
        <v>46</v>
      </c>
      <c r="B17" s="42" t="n">
        <f aca="false">SUMIFS(Lançamentos!$F$5:$F$304,Lançamentos!$C$5:$C$304,A17,Lançamentos!$B$5:$B$304,"Despesa",Lançamentos!$A$5:$A$304,"&gt;="&amp;$H$2,Lançamentos!$A$5:$A$304,"&lt;"&amp;EDATE($H$2,1))</f>
        <v>0</v>
      </c>
      <c r="C17" s="43" t="str">
        <f aca="false">IF(B17=0,"",REPT("█",MAX(1,ROUND(B17/MAX($B$10:$B$19)*16,0))))</f>
        <v/>
      </c>
      <c r="D17" s="26"/>
      <c r="E17" s="26"/>
      <c r="F17" s="26"/>
      <c r="G17" s="26"/>
      <c r="H17" s="26"/>
    </row>
    <row r="18" customFormat="false" ht="42" hidden="false" customHeight="true" outlineLevel="0" collapsed="false">
      <c r="A18" s="26" t="s">
        <v>47</v>
      </c>
      <c r="B18" s="42" t="n">
        <f aca="false">SUMIFS(Lançamentos!$F$5:$F$304,Lançamentos!$C$5:$C$304,A18,Lançamentos!$B$5:$B$304,"Despesa",Lançamentos!$A$5:$A$304,"&gt;="&amp;$H$2,Lançamentos!$A$5:$A$304,"&lt;"&amp;EDATE($H$2,1))</f>
        <v>0</v>
      </c>
      <c r="C18" s="43" t="str">
        <f aca="false">IF(B18=0,"",REPT("█",MAX(1,ROUND(B18/MAX($B$10:$B$19)*16,0))))</f>
        <v/>
      </c>
      <c r="D18" s="47" t="s">
        <v>48</v>
      </c>
      <c r="E18" s="47"/>
      <c r="F18" s="47"/>
      <c r="G18" s="47"/>
      <c r="H18" s="47"/>
    </row>
    <row r="19" customFormat="false" ht="15" hidden="false" customHeight="true" outlineLevel="0" collapsed="false">
      <c r="A19" s="26" t="s">
        <v>49</v>
      </c>
      <c r="B19" s="42" t="n">
        <f aca="false">SUMIFS(Lançamentos!$F$5:$F$304,Lançamentos!$C$5:$C$304,A19,Lançamentos!$B$5:$B$304,"Despesa",Lançamentos!$A$5:$A$304,"&gt;="&amp;$H$2,Lançamentos!$A$5:$A$304,"&lt;"&amp;EDATE($H$2,1))</f>
        <v>0</v>
      </c>
      <c r="C19" s="43" t="str">
        <f aca="false">IF(B19=0,"",REPT("█",MAX(1,ROUND(B19/MAX($B$10:$B$19)*16,0))))</f>
        <v/>
      </c>
      <c r="D19" s="47"/>
      <c r="E19" s="47"/>
      <c r="F19" s="47"/>
      <c r="G19" s="47"/>
      <c r="H19" s="47"/>
    </row>
    <row r="20" customFormat="false" ht="15" hidden="false" customHeight="true" outlineLevel="0" collapsed="false">
      <c r="B20" s="48"/>
      <c r="D20" s="47"/>
      <c r="E20" s="47"/>
      <c r="F20" s="47"/>
      <c r="G20" s="47"/>
      <c r="H20" s="47"/>
    </row>
    <row r="21" customFormat="false" ht="15" hidden="false" customHeight="true" outlineLevel="0" collapsed="false">
      <c r="B21" s="48"/>
      <c r="D21" s="47"/>
      <c r="E21" s="47"/>
      <c r="F21" s="47"/>
      <c r="G21" s="47"/>
      <c r="H21" s="47"/>
    </row>
    <row r="22" customFormat="false" ht="15" hidden="false" customHeight="true" outlineLevel="0" collapsed="false">
      <c r="B22" s="48"/>
      <c r="D22" s="47"/>
      <c r="E22" s="47"/>
      <c r="F22" s="47"/>
      <c r="G22" s="47"/>
      <c r="H22" s="47"/>
    </row>
    <row r="23" customFormat="false" ht="15" hidden="false" customHeight="true" outlineLevel="0" collapsed="false">
      <c r="B23" s="48"/>
    </row>
    <row r="24" customFormat="false" ht="15" hidden="false" customHeight="true" outlineLevel="0" collapsed="false">
      <c r="B24" s="48"/>
    </row>
    <row r="25" customFormat="false" ht="15" hidden="false" customHeight="true" outlineLevel="0" collapsed="false">
      <c r="B25" s="48"/>
    </row>
    <row r="26" customFormat="false" ht="15" hidden="false" customHeight="true" outlineLevel="0" collapsed="false">
      <c r="B26" s="48"/>
    </row>
    <row r="27" customFormat="false" ht="15" hidden="false" customHeight="true" outlineLevel="0" collapsed="false">
      <c r="B27" s="48"/>
    </row>
    <row r="28" customFormat="false" ht="15" hidden="false" customHeight="true" outlineLevel="0" collapsed="false">
      <c r="B28" s="48"/>
    </row>
    <row r="30" customFormat="false" ht="15" hidden="false" customHeight="true" outlineLevel="0" collapsed="false">
      <c r="A30" s="49"/>
    </row>
    <row r="31" customFormat="false" ht="15" hidden="false" customHeight="true" outlineLevel="0" collapsed="false">
      <c r="A31" s="50"/>
    </row>
    <row r="32" customFormat="false" ht="15" hidden="false" customHeight="true" outlineLevel="0" collapsed="false">
      <c r="A32" s="49"/>
    </row>
    <row r="33" customFormat="false" ht="15" hidden="false" customHeight="true" outlineLevel="0" collapsed="false">
      <c r="A33" s="50"/>
      <c r="B33" s="48"/>
    </row>
    <row r="34" customFormat="false" ht="15" hidden="false" customHeight="true" outlineLevel="0" collapsed="false">
      <c r="A34" s="50"/>
      <c r="B34" s="48"/>
    </row>
    <row r="35" customFormat="false" ht="15" hidden="false" customHeight="true" outlineLevel="0" collapsed="false">
      <c r="A35" s="50"/>
      <c r="B35" s="48"/>
    </row>
    <row r="36" customFormat="false" ht="15" hidden="false" customHeight="true" outlineLevel="0" collapsed="false">
      <c r="A36" s="50"/>
      <c r="B36" s="48"/>
    </row>
    <row r="37" customFormat="false" ht="15" hidden="false" customHeight="true" outlineLevel="0" collapsed="false">
      <c r="A37" s="50"/>
      <c r="B37" s="48"/>
    </row>
    <row r="38" customFormat="false" ht="15" hidden="false" customHeight="true" outlineLevel="0" collapsed="false">
      <c r="A38" s="50"/>
      <c r="B38" s="48"/>
    </row>
    <row r="39" customFormat="false" ht="15" hidden="false" customHeight="true" outlineLevel="0" collapsed="false">
      <c r="A39" s="50"/>
      <c r="B39" s="48"/>
    </row>
    <row r="40" customFormat="false" ht="15" hidden="false" customHeight="true" outlineLevel="0" collapsed="false">
      <c r="A40" s="50"/>
    </row>
  </sheetData>
  <sheetProtection sheet="true" password="f1c2" objects="true" scenarios="true"/>
  <mergeCells count="11">
    <mergeCell ref="A1:H1"/>
    <mergeCell ref="A4:B4"/>
    <mergeCell ref="C4:D4"/>
    <mergeCell ref="E4:F4"/>
    <mergeCell ref="G4:H4"/>
    <mergeCell ref="A5:B5"/>
    <mergeCell ref="C5:D5"/>
    <mergeCell ref="E5:F5"/>
    <mergeCell ref="G5:H5"/>
    <mergeCell ref="D10:H14"/>
    <mergeCell ref="D18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ns0:worksheet xmlns:ns0="http://schemas.openxmlformats.org/spreadsheetml/2006/main">
  <ns0:sheetPr filterMode="false">
    <ns0:pageSetUpPr fitToPage="true"/>
  </ns0:sheetPr>
  <ns0:dimension ref="A1:F14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3" topLeftCell="A4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true" zeroHeight="false" outlineLevelRow="0" outlineLevelCol="0"/>
  <ns0:cols>
    <ns0:col collapsed="false" customWidth="true" hidden="false" outlineLevel="0" max="6" min="1" style="24" width="23"/>
  </ns0:cols>
  <ns0:sheetData>
    <ns0:row r="1" customFormat="false" ht="31.5" hidden="false" customHeight="true" outlineLevel="0" collapsed="false">
      <ns0:c r="A1" s="51" t="s">
        <ns0:v>50</ns0:v>
      </ns0:c>
      <ns0:c r="B1" s="51"/>
      <ns0:c r="C1" s="51"/>
      <ns0:c r="D1" s="51"/>
      <ns0:c r="E1" s="51"/>
      <ns0:c r="F1" s="51"/>
    </ns0:row>
    <ns0:row r="2" customFormat="false" ht="14.25" hidden="false" customHeight="true" outlineLevel="0" collapsed="false">
      <ns0:c r="A2" s="52" t="s">
        <ns0:v>51</ns0:v>
      </ns0:c>
      <ns0:c r="B2" s="52"/>
      <ns0:c r="C2" s="52"/>
      <ns0:c r="D2" s="52"/>
      <ns0:c r="E2" s="52"/>
      <ns0:c r="F2" s="52"/>
    </ns0:row>
    <ns0:row r="3" customFormat="false" ht="15" hidden="false" customHeight="true" outlineLevel="0" collapsed="false">
      <ns0:c r="A3" s="53"/>
      <ns0:c r="B3" s="53"/>
      <ns0:c r="C3" s="53"/>
      <ns0:c r="D3" s="53"/>
      <ns0:c r="E3" s="53"/>
    </ns0:row>
    <ns0:row r="4" customFormat="false" ht="15" hidden="false" customHeight="true" outlineLevel="0" collapsed="false">
      <ns0:c r="A4" s="54" t="s">
        <ns0:v>52</ns0:v>
      </ns0:c>
      <ns0:c r="B4" s="54" t="s">
        <ns0:v>53</ns0:v>
      </ns0:c>
      <ns0:c r="C4" s="54" t="s">
        <ns0:v>54</ns0:v>
      </ns0:c>
      <ns0:c r="D4" s="54" t="s">
        <ns0:v>55</ns0:v>
      </ns0:c>
      <ns0:c r="E4" s="54" t="s">
        <ns0:v>56</ns0:v>
      </ns0:c>
      <ns0:c r="F4" s="54" t="s">
        <ns0:v>57</ns0:v>
      </ns0:c>
    </ns0:row>
    <ns0:row r="5" customFormat="false" ht="15" hidden="false" customHeight="true" outlineLevel="0" collapsed="false">
      <ns0:c r="A5" s="55" t="s">
        <ns0:v>58</ns0:v>
      </ns0:c>
      <ns0:c r="B5" s="55" t="s">
        <ns0:v>38</ns0:v>
      </ns0:c>
      <ns0:c r="C5" s="55" t="s">
        <ns0:v>59</ns0:v>
      </ns0:c>
      <ns0:c r="D5" s="55" t="s">
        <ns0:v>60</ns0:v>
      </ns0:c>
      <ns0:c r="E5" s="55" t="s">
        <ns0:v>61</ns0:v>
      </ns0:c>
      <ns0:c r="F5" s="55" t="s">
        <ns0:v>62</ns0:v>
      </ns0:c>
    </ns0:row>
    <ns0:row r="6" customFormat="false" ht="15" hidden="false" customHeight="true" outlineLevel="0" collapsed="false">
      <ns0:c r="A6" s="55" t="s">
        <ns0:v>63</ns0:v>
      </ns0:c>
      <ns0:c r="B6" s="55" t="s">
        <ns0:v>40</ns0:v>
      </ns0:c>
      <ns0:c r="C6" s="55" t="s">
        <ns0:v>64</ns0:v>
      </ns0:c>
      <ns0:c r="D6" s="55" t="s">
        <ns0:v>65</ns0:v>
      </ns0:c>
      <ns0:c r="E6" s="55" t="s">
        <ns0:v>66</ns0:v>
      </ns0:c>
      <ns0:c r="F6" s="55" t="s">
        <ns0:v>67</ns0:v>
      </ns0:c>
    </ns0:row>
    <ns0:row r="7" customFormat="false" ht="15" hidden="false" customHeight="true" outlineLevel="0" collapsed="false">
      <ns0:c r="A7" s="55" t="s">
        <ns0:v>68</ns0:v>
      </ns0:c>
      <ns0:c r="B7" s="55" t="s">
        <ns0:v>41</ns0:v>
      </ns0:c>
      <ns0:c r="C7" s="55" t="s">
        <ns0:v>69</ns0:v>
      </ns0:c>
      <ns0:c r="D7" s="55" t="s">
        <ns0:v>70</ns0:v>
      </ns0:c>
      <ns0:c r="E7" s="55" t="s">
        <ns0:v>71</ns0:v>
      </ns0:c>
      <ns0:c r="F7" s="55" t="s">
        <ns0:v>72</ns0:v>
      </ns0:c>
    </ns0:row>
    <ns0:row r="8" customFormat="false" ht="15" hidden="false" customHeight="true" outlineLevel="0" collapsed="false">
      <ns0:c r="A8" s="55"/>
      <ns0:c r="B8" s="55" t="s">
        <ns0:v>42</ns0:v>
      </ns0:c>
      <ns0:c r="C8" s="55"/>
      <ns0:c r="D8" s="55"/>
      <ns0:c r="E8" s="55" t="s">
        <ns0:v>73</ns0:v>
      </ns0:c>
      <ns0:c r="F8" s="55" t="s">
        <ns0:v>74</ns0:v>
      </ns0:c>
    </ns0:row>
    <ns0:row r="9" customFormat="false" ht="15" hidden="false" customHeight="true" outlineLevel="0" collapsed="false">
      <ns0:c r="A9" s="55"/>
      <ns0:c r="B9" s="55" t="s">
        <ns0:v>44</ns0:v>
      </ns0:c>
      <ns0:c r="C9" s="55"/>
      <ns0:c r="D9" s="55"/>
      <ns0:c r="E9" s="55" t="s">
        <ns0:v>75</ns0:v>
      </ns0:c>
      <ns0:c r="F9" s="55" t="s">
        <ns0:v>76</ns0:v>
      </ns0:c>
    </ns0:row>
    <ns0:row r="10" customFormat="false" ht="15" hidden="false" customHeight="true" outlineLevel="0" collapsed="false">
      <ns0:c r="A10" s="55"/>
      <ns0:c r="B10" s="55" t="s">
        <ns0:v>43</ns0:v>
      </ns0:c>
      <ns0:c r="C10" s="55"/>
      <ns0:c r="D10" s="55"/>
      <ns0:c r="E10" s="55"/>
      <ns0:c r="F10" s="55" t="s">
        <ns0:v>77</ns0:v>
      </ns0:c>
    </ns0:row>
    <ns0:row r="11" customFormat="false" ht="15" hidden="false" customHeight="true" outlineLevel="0" collapsed="false">
      <ns0:c r="A11" s="55"/>
      <ns0:c r="B11" s="55" t="s">
        <ns0:v>45</ns0:v>
      </ns0:c>
      <ns0:c r="C11" s="55"/>
      <ns0:c r="D11" s="55"/>
      <ns0:c r="E11" s="55"/>
      <ns0:c r="F11" s="55" t="s">
        <ns0:v>78</ns0:v>
      </ns0:c>
    </ns0:row>
    <ns0:row r="12" customFormat="false" ht="15" hidden="false" customHeight="true" outlineLevel="0" collapsed="false">
      <ns0:c r="A12" s="55"/>
      <ns0:c r="B12" s="55" t="s">
        <ns0:v>46</ns0:v>
      </ns0:c>
      <ns0:c r="C12" s="55"/>
      <ns0:c r="D12" s="55"/>
      <ns0:c r="E12" s="55"/>
      <ns0:c r="F12" s="55" t="s">
        <ns0:v>79</ns0:v>
      </ns0:c>
    </ns0:row>
    <ns0:row r="13" customFormat="false" ht="15" hidden="false" customHeight="true" outlineLevel="0" collapsed="false">
      <ns0:c r="A13" s="55"/>
      <ns0:c r="B13" s="55" t="s">
        <ns0:v>47</ns0:v>
      </ns0:c>
      <ns0:c r="C13" s="55"/>
      <ns0:c r="D13" s="55"/>
      <ns0:c r="E13" s="55"/>
      <ns0:c r="F13" s="55" t="s">
        <ns0:v>80</ns0:v>
      </ns0:c>
    </ns0:row>
    <ns0:row r="14" customFormat="false" ht="15" hidden="false" customHeight="true" outlineLevel="0" collapsed="false">
      <ns0:c r="A14" s="55"/>
      <ns0:c r="B14" s="55" t="s">
        <ns0:v>49</ns0:v>
      </ns0:c>
      <ns0:c r="C14" s="55"/>
      <ns0:c r="D14" s="55"/>
      <ns0:c r="E14" s="55"/>
      <ns0:c r="F14" s="55"/>
    </ns0:row>
  </ns0:sheetData>
  <ns0:sheetProtection sheet="true" selectLockedCells="true" selectUnlockedCells="true"/>
  <ns0:mergeCells count="2">
    <ns0:mergeCell ref="A1:F1"/>
    <ns0:mergeCell ref="A2:F2"/>
  </ns0:mergeCells>
  <ns0:hyperlinks>
    <ns0:hyperlink ref="A2" location="'COMECE%20AQUI'!A1" display="← Comece aqui"/>
  </ns0:hyperlinks>
  <ns0:printOptions headings="false" gridLines="false" gridLinesSet="true" horizontalCentered="false" verticalCentered="false"/>
  <ns0:pageMargins left="0.75" right="0.75" top="1" bottom="1" header="0.511811023622047" footer="0.511811023622047"/>
  <ns0:pageSetup paperSize="1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G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13"/>
    <col collapsed="false" customWidth="true" hidden="false" outlineLevel="0" max="2" min="2" style="24" width="14"/>
    <col collapsed="false" customWidth="true" hidden="false" outlineLevel="0" max="3" min="3" style="24" width="20"/>
    <col collapsed="false" customWidth="true" hidden="false" outlineLevel="0" max="4" min="4" style="24" width="28"/>
    <col collapsed="false" customWidth="true" hidden="false" outlineLevel="0" max="5" min="5" style="24" width="20"/>
    <col collapsed="false" customWidth="true" hidden="false" outlineLevel="0" max="6" min="6" style="24" width="16"/>
    <col collapsed="false" customWidth="true" hidden="false" outlineLevel="0" max="7" min="7" style="24" width="28"/>
  </cols>
  <sheetData>
    <row r="1" customFormat="false" ht="37.5" hidden="false" customHeight="true" outlineLevel="0" collapsed="false">
      <c r="A1" s="56" t="s">
        <v>81</v>
      </c>
      <c r="B1" s="26"/>
      <c r="C1" s="26"/>
      <c r="D1" s="26"/>
      <c r="E1" s="26"/>
      <c r="F1" s="26"/>
      <c r="G1" s="26"/>
    </row>
    <row r="2" customFormat="false" ht="15" hidden="false" customHeight="true" outlineLevel="0" collapsed="false">
      <c r="A2" s="57" t="s">
        <v>82</v>
      </c>
      <c r="B2" s="57"/>
      <c r="C2" s="57"/>
      <c r="D2" s="57"/>
      <c r="E2" s="57"/>
      <c r="F2" s="57"/>
      <c r="G2" s="57"/>
    </row>
    <row r="3" customFormat="false" ht="15" hidden="false" customHeight="true" outlineLevel="0" collapsed="false">
      <c r="A3" s="58"/>
      <c r="B3" s="58"/>
      <c r="C3" s="58"/>
      <c r="D3" s="58"/>
      <c r="E3" s="58"/>
      <c r="F3" s="58"/>
      <c r="G3" s="58"/>
    </row>
    <row r="4" customFormat="false" ht="15" hidden="false" customHeight="true" outlineLevel="0" collapsed="false">
      <c r="A4" s="59" t="s">
        <v>83</v>
      </c>
      <c r="B4" s="60" t="s">
        <v>84</v>
      </c>
      <c r="C4" s="60" t="s">
        <v>85</v>
      </c>
      <c r="D4" s="60" t="s">
        <v>86</v>
      </c>
      <c r="E4" s="60" t="s">
        <v>87</v>
      </c>
      <c r="F4" s="61" t="s">
        <v>88</v>
      </c>
      <c r="G4" s="60" t="s">
        <v>89</v>
      </c>
    </row>
    <row r="5" customFormat="false" ht="15" hidden="false" customHeight="true" outlineLevel="0" collapsed="false">
      <c r="A5" s="62" t="n">
        <v>46266</v>
      </c>
      <c r="B5" s="63" t="s">
        <v>90</v>
      </c>
      <c r="C5" s="63" t="s">
        <v>58</v>
      </c>
      <c r="D5" s="63" t="s">
        <v>91</v>
      </c>
      <c r="E5" s="63" t="s">
        <v>92</v>
      </c>
      <c r="F5" s="64" t="n">
        <v>6000</v>
      </c>
      <c r="G5" s="63"/>
    </row>
    <row r="6" customFormat="false" ht="15" hidden="false" customHeight="true" outlineLevel="0" collapsed="false">
      <c r="A6" s="62" t="n">
        <v>46267</v>
      </c>
      <c r="B6" s="63" t="s">
        <v>93</v>
      </c>
      <c r="C6" s="63" t="s">
        <v>38</v>
      </c>
      <c r="D6" s="63" t="s">
        <v>94</v>
      </c>
      <c r="E6" s="63" t="s">
        <v>92</v>
      </c>
      <c r="F6" s="64" t="n">
        <v>700</v>
      </c>
      <c r="G6" s="63"/>
    </row>
    <row r="7" customFormat="false" ht="15" hidden="false" customHeight="true" outlineLevel="0" collapsed="false">
      <c r="A7" s="62" t="n">
        <v>46268</v>
      </c>
      <c r="B7" s="63" t="s">
        <v>93</v>
      </c>
      <c r="C7" s="63" t="s">
        <v>40</v>
      </c>
      <c r="D7" s="63" t="s">
        <v>95</v>
      </c>
      <c r="E7" s="63" t="s">
        <v>92</v>
      </c>
      <c r="F7" s="64" t="n">
        <v>900</v>
      </c>
      <c r="G7" s="63"/>
    </row>
    <row r="8" customFormat="false" ht="15" hidden="false" customHeight="true" outlineLevel="0" collapsed="false">
      <c r="A8" s="65" t="n">
        <v>46270</v>
      </c>
      <c r="B8" s="66" t="s">
        <v>93</v>
      </c>
      <c r="C8" s="66" t="s">
        <v>41</v>
      </c>
      <c r="D8" s="66" t="s">
        <v>96</v>
      </c>
      <c r="E8" s="66" t="s">
        <v>92</v>
      </c>
      <c r="F8" s="67" t="n">
        <v>400</v>
      </c>
      <c r="G8" s="66"/>
    </row>
    <row r="9" customFormat="false" ht="15" hidden="false" customHeight="true" outlineLevel="0" collapsed="false">
      <c r="A9" s="65" t="n">
        <v>46272</v>
      </c>
      <c r="B9" s="66" t="s">
        <v>93</v>
      </c>
      <c r="C9" s="66" t="s">
        <v>44</v>
      </c>
      <c r="D9" s="66" t="s">
        <v>97</v>
      </c>
      <c r="E9" s="66" t="s">
        <v>92</v>
      </c>
      <c r="F9" s="67" t="n">
        <v>300</v>
      </c>
      <c r="G9" s="66"/>
    </row>
    <row r="10" customFormat="false" ht="15" hidden="false" customHeight="true" outlineLevel="0" collapsed="false">
      <c r="A10" s="65" t="n">
        <v>46275</v>
      </c>
      <c r="B10" s="66" t="s">
        <v>93</v>
      </c>
      <c r="C10" s="66" t="s">
        <v>54</v>
      </c>
      <c r="D10" s="66" t="s">
        <v>98</v>
      </c>
      <c r="E10" s="66" t="s">
        <v>92</v>
      </c>
      <c r="F10" s="67" t="n">
        <v>150</v>
      </c>
      <c r="G10" s="66"/>
    </row>
    <row r="11" customFormat="false" ht="15" hidden="false" customHeight="true" outlineLevel="0" collapsed="false">
      <c r="A11" s="65"/>
      <c r="B11" s="66"/>
      <c r="C11" s="66"/>
      <c r="D11" s="66"/>
      <c r="E11" s="66"/>
      <c r="F11" s="67"/>
      <c r="G11" s="66"/>
    </row>
    <row r="12" customFormat="false" ht="15" hidden="false" customHeight="true" outlineLevel="0" collapsed="false">
      <c r="A12" s="65"/>
      <c r="B12" s="66"/>
      <c r="C12" s="66"/>
      <c r="D12" s="66"/>
      <c r="E12" s="66"/>
      <c r="F12" s="67"/>
      <c r="G12" s="66"/>
    </row>
    <row r="13" customFormat="false" ht="15" hidden="false" customHeight="true" outlineLevel="0" collapsed="false">
      <c r="A13" s="65"/>
      <c r="B13" s="66"/>
      <c r="C13" s="66"/>
      <c r="D13" s="66"/>
      <c r="E13" s="66"/>
      <c r="F13" s="67"/>
      <c r="G13" s="66"/>
    </row>
    <row r="14" customFormat="false" ht="15" hidden="false" customHeight="true" outlineLevel="0" collapsed="false">
      <c r="A14" s="65"/>
      <c r="B14" s="66"/>
      <c r="C14" s="66"/>
      <c r="D14" s="66"/>
      <c r="E14" s="66"/>
      <c r="F14" s="67"/>
      <c r="G14" s="66"/>
    </row>
    <row r="15" customFormat="false" ht="15" hidden="false" customHeight="true" outlineLevel="0" collapsed="false">
      <c r="A15" s="65"/>
      <c r="B15" s="66"/>
      <c r="C15" s="66"/>
      <c r="D15" s="66"/>
      <c r="E15" s="66"/>
      <c r="F15" s="67"/>
      <c r="G15" s="66"/>
    </row>
    <row r="16" customFormat="false" ht="15" hidden="false" customHeight="true" outlineLevel="0" collapsed="false">
      <c r="A16" s="65"/>
      <c r="B16" s="66"/>
      <c r="C16" s="66"/>
      <c r="D16" s="66"/>
      <c r="E16" s="66"/>
      <c r="F16" s="67"/>
      <c r="G16" s="66"/>
    </row>
    <row r="17" customFormat="false" ht="15" hidden="false" customHeight="true" outlineLevel="0" collapsed="false">
      <c r="A17" s="65"/>
      <c r="B17" s="66"/>
      <c r="C17" s="66"/>
      <c r="D17" s="66"/>
      <c r="E17" s="66"/>
      <c r="F17" s="67"/>
      <c r="G17" s="66"/>
    </row>
    <row r="18" customFormat="false" ht="15" hidden="false" customHeight="true" outlineLevel="0" collapsed="false">
      <c r="A18" s="65"/>
      <c r="B18" s="66"/>
      <c r="C18" s="66"/>
      <c r="D18" s="66"/>
      <c r="E18" s="66"/>
      <c r="F18" s="67"/>
      <c r="G18" s="66"/>
    </row>
    <row r="19" customFormat="false" ht="15" hidden="false" customHeight="true" outlineLevel="0" collapsed="false">
      <c r="A19" s="65"/>
      <c r="B19" s="66"/>
      <c r="C19" s="66"/>
      <c r="D19" s="66"/>
      <c r="E19" s="66"/>
      <c r="F19" s="67"/>
      <c r="G19" s="66"/>
    </row>
    <row r="20" customFormat="false" ht="15" hidden="false" customHeight="true" outlineLevel="0" collapsed="false">
      <c r="A20" s="65"/>
      <c r="B20" s="66"/>
      <c r="C20" s="66"/>
      <c r="D20" s="66"/>
      <c r="E20" s="66"/>
      <c r="F20" s="67"/>
      <c r="G20" s="66"/>
    </row>
    <row r="21" customFormat="false" ht="15" hidden="false" customHeight="true" outlineLevel="0" collapsed="false">
      <c r="A21" s="65"/>
      <c r="B21" s="66"/>
      <c r="C21" s="66"/>
      <c r="D21" s="66"/>
      <c r="E21" s="66"/>
      <c r="F21" s="67"/>
      <c r="G21" s="66"/>
    </row>
    <row r="22" customFormat="false" ht="15" hidden="false" customHeight="true" outlineLevel="0" collapsed="false">
      <c r="A22" s="65"/>
      <c r="B22" s="66"/>
      <c r="C22" s="66"/>
      <c r="D22" s="66"/>
      <c r="E22" s="66"/>
      <c r="F22" s="67"/>
      <c r="G22" s="66"/>
    </row>
    <row r="23" customFormat="false" ht="15" hidden="false" customHeight="true" outlineLevel="0" collapsed="false">
      <c r="A23" s="65"/>
      <c r="B23" s="66"/>
      <c r="C23" s="66"/>
      <c r="D23" s="66"/>
      <c r="E23" s="66"/>
      <c r="F23" s="67"/>
      <c r="G23" s="66"/>
    </row>
    <row r="24" customFormat="false" ht="15" hidden="false" customHeight="true" outlineLevel="0" collapsed="false">
      <c r="A24" s="65"/>
      <c r="B24" s="66"/>
      <c r="C24" s="66"/>
      <c r="D24" s="66"/>
      <c r="E24" s="66"/>
      <c r="F24" s="67"/>
      <c r="G24" s="66"/>
    </row>
    <row r="25" customFormat="false" ht="15" hidden="false" customHeight="true" outlineLevel="0" collapsed="false">
      <c r="A25" s="65"/>
      <c r="B25" s="66"/>
      <c r="C25" s="66"/>
      <c r="D25" s="66"/>
      <c r="E25" s="66"/>
      <c r="F25" s="67"/>
      <c r="G25" s="66"/>
    </row>
    <row r="26" customFormat="false" ht="15" hidden="false" customHeight="true" outlineLevel="0" collapsed="false">
      <c r="A26" s="65"/>
      <c r="B26" s="66"/>
      <c r="C26" s="66"/>
      <c r="D26" s="66"/>
      <c r="E26" s="66"/>
      <c r="F26" s="67"/>
      <c r="G26" s="66"/>
    </row>
    <row r="27" customFormat="false" ht="15" hidden="false" customHeight="true" outlineLevel="0" collapsed="false">
      <c r="A27" s="65"/>
      <c r="B27" s="66"/>
      <c r="C27" s="66"/>
      <c r="D27" s="66"/>
      <c r="E27" s="66"/>
      <c r="F27" s="67"/>
      <c r="G27" s="66"/>
    </row>
    <row r="28" customFormat="false" ht="15" hidden="false" customHeight="true" outlineLevel="0" collapsed="false">
      <c r="A28" s="65"/>
      <c r="B28" s="66"/>
      <c r="C28" s="66"/>
      <c r="D28" s="66"/>
      <c r="E28" s="66"/>
      <c r="F28" s="67"/>
      <c r="G28" s="66"/>
    </row>
    <row r="29" customFormat="false" ht="15" hidden="false" customHeight="true" outlineLevel="0" collapsed="false">
      <c r="A29" s="65"/>
      <c r="B29" s="66"/>
      <c r="C29" s="66"/>
      <c r="D29" s="66"/>
      <c r="E29" s="66"/>
      <c r="F29" s="67"/>
      <c r="G29" s="66"/>
    </row>
    <row r="30" customFormat="false" ht="15" hidden="false" customHeight="true" outlineLevel="0" collapsed="false">
      <c r="A30" s="65"/>
      <c r="B30" s="66"/>
      <c r="C30" s="66"/>
      <c r="D30" s="66"/>
      <c r="E30" s="66"/>
      <c r="F30" s="67"/>
      <c r="G30" s="66"/>
    </row>
    <row r="31" customFormat="false" ht="15" hidden="false" customHeight="true" outlineLevel="0" collapsed="false">
      <c r="A31" s="65"/>
      <c r="B31" s="66"/>
      <c r="C31" s="66"/>
      <c r="D31" s="66"/>
      <c r="E31" s="66"/>
      <c r="F31" s="67"/>
      <c r="G31" s="66"/>
    </row>
    <row r="32" customFormat="false" ht="15" hidden="false" customHeight="true" outlineLevel="0" collapsed="false">
      <c r="A32" s="65"/>
      <c r="B32" s="66"/>
      <c r="C32" s="66"/>
      <c r="D32" s="66"/>
      <c r="E32" s="66"/>
      <c r="F32" s="67"/>
      <c r="G32" s="66"/>
    </row>
    <row r="33" customFormat="false" ht="15" hidden="false" customHeight="true" outlineLevel="0" collapsed="false">
      <c r="A33" s="65"/>
      <c r="B33" s="66"/>
      <c r="C33" s="66"/>
      <c r="D33" s="66"/>
      <c r="E33" s="66"/>
      <c r="F33" s="67"/>
      <c r="G33" s="66"/>
    </row>
    <row r="34" customFormat="false" ht="15" hidden="false" customHeight="true" outlineLevel="0" collapsed="false">
      <c r="A34" s="65"/>
      <c r="B34" s="66"/>
      <c r="C34" s="66"/>
      <c r="D34" s="66"/>
      <c r="E34" s="66"/>
      <c r="F34" s="67"/>
      <c r="G34" s="66"/>
    </row>
    <row r="35" customFormat="false" ht="15" hidden="false" customHeight="true" outlineLevel="0" collapsed="false">
      <c r="A35" s="65"/>
      <c r="B35" s="66"/>
      <c r="C35" s="66"/>
      <c r="D35" s="66"/>
      <c r="E35" s="66"/>
      <c r="F35" s="67"/>
      <c r="G35" s="66"/>
    </row>
    <row r="36" customFormat="false" ht="15" hidden="false" customHeight="true" outlineLevel="0" collapsed="false">
      <c r="A36" s="65"/>
      <c r="B36" s="66"/>
      <c r="C36" s="66"/>
      <c r="D36" s="66"/>
      <c r="E36" s="66"/>
      <c r="F36" s="67"/>
      <c r="G36" s="66"/>
    </row>
    <row r="37" customFormat="false" ht="15" hidden="false" customHeight="true" outlineLevel="0" collapsed="false">
      <c r="A37" s="65"/>
      <c r="B37" s="66"/>
      <c r="C37" s="66"/>
      <c r="D37" s="66"/>
      <c r="E37" s="66"/>
      <c r="F37" s="67"/>
      <c r="G37" s="66"/>
    </row>
    <row r="38" customFormat="false" ht="15" hidden="false" customHeight="true" outlineLevel="0" collapsed="false">
      <c r="A38" s="65"/>
      <c r="B38" s="66"/>
      <c r="C38" s="66"/>
      <c r="D38" s="66"/>
      <c r="E38" s="66"/>
      <c r="F38" s="67"/>
      <c r="G38" s="66"/>
    </row>
    <row r="39" customFormat="false" ht="15" hidden="false" customHeight="true" outlineLevel="0" collapsed="false">
      <c r="A39" s="65"/>
      <c r="B39" s="66"/>
      <c r="C39" s="66"/>
      <c r="D39" s="66"/>
      <c r="E39" s="66"/>
      <c r="F39" s="67"/>
      <c r="G39" s="66"/>
    </row>
    <row r="40" customFormat="false" ht="15" hidden="false" customHeight="true" outlineLevel="0" collapsed="false">
      <c r="A40" s="65"/>
      <c r="B40" s="66"/>
      <c r="C40" s="66"/>
      <c r="D40" s="66"/>
      <c r="E40" s="66"/>
      <c r="F40" s="67"/>
      <c r="G40" s="66"/>
    </row>
    <row r="41" customFormat="false" ht="15" hidden="false" customHeight="true" outlineLevel="0" collapsed="false">
      <c r="A41" s="65"/>
      <c r="B41" s="66"/>
      <c r="C41" s="66"/>
      <c r="D41" s="66"/>
      <c r="E41" s="66"/>
      <c r="F41" s="67"/>
      <c r="G41" s="66"/>
    </row>
    <row r="42" customFormat="false" ht="15" hidden="false" customHeight="true" outlineLevel="0" collapsed="false">
      <c r="A42" s="65"/>
      <c r="B42" s="66"/>
      <c r="C42" s="66"/>
      <c r="D42" s="66"/>
      <c r="E42" s="66"/>
      <c r="F42" s="67"/>
      <c r="G42" s="66"/>
    </row>
    <row r="43" customFormat="false" ht="15" hidden="false" customHeight="true" outlineLevel="0" collapsed="false">
      <c r="A43" s="65"/>
      <c r="B43" s="66"/>
      <c r="C43" s="66"/>
      <c r="D43" s="66"/>
      <c r="E43" s="66"/>
      <c r="F43" s="67"/>
      <c r="G43" s="66"/>
    </row>
    <row r="44" customFormat="false" ht="15" hidden="false" customHeight="true" outlineLevel="0" collapsed="false">
      <c r="A44" s="65"/>
      <c r="B44" s="66"/>
      <c r="C44" s="66"/>
      <c r="D44" s="66"/>
      <c r="E44" s="66"/>
      <c r="F44" s="67"/>
      <c r="G44" s="66"/>
    </row>
    <row r="45" customFormat="false" ht="15" hidden="false" customHeight="true" outlineLevel="0" collapsed="false">
      <c r="A45" s="65"/>
      <c r="B45" s="66"/>
      <c r="C45" s="66"/>
      <c r="D45" s="66"/>
      <c r="E45" s="66"/>
      <c r="F45" s="67"/>
      <c r="G45" s="66"/>
    </row>
    <row r="46" customFormat="false" ht="15" hidden="false" customHeight="true" outlineLevel="0" collapsed="false">
      <c r="A46" s="65"/>
      <c r="B46" s="66"/>
      <c r="C46" s="66"/>
      <c r="D46" s="66"/>
      <c r="E46" s="66"/>
      <c r="F46" s="67"/>
      <c r="G46" s="66"/>
    </row>
    <row r="47" customFormat="false" ht="15" hidden="false" customHeight="true" outlineLevel="0" collapsed="false">
      <c r="A47" s="65"/>
      <c r="B47" s="66"/>
      <c r="C47" s="66"/>
      <c r="D47" s="66"/>
      <c r="E47" s="66"/>
      <c r="F47" s="67"/>
      <c r="G47" s="66"/>
    </row>
    <row r="48" customFormat="false" ht="15" hidden="false" customHeight="true" outlineLevel="0" collapsed="false">
      <c r="A48" s="65"/>
      <c r="B48" s="66"/>
      <c r="C48" s="66"/>
      <c r="D48" s="66"/>
      <c r="E48" s="66"/>
      <c r="F48" s="67"/>
      <c r="G48" s="66"/>
    </row>
    <row r="49" customFormat="false" ht="15" hidden="false" customHeight="true" outlineLevel="0" collapsed="false">
      <c r="A49" s="65"/>
      <c r="B49" s="66"/>
      <c r="C49" s="66"/>
      <c r="D49" s="66"/>
      <c r="E49" s="66"/>
      <c r="F49" s="67"/>
      <c r="G49" s="66"/>
    </row>
    <row r="50" customFormat="false" ht="15" hidden="false" customHeight="true" outlineLevel="0" collapsed="false">
      <c r="A50" s="65"/>
      <c r="B50" s="66"/>
      <c r="C50" s="66"/>
      <c r="D50" s="66"/>
      <c r="E50" s="66"/>
      <c r="F50" s="67"/>
      <c r="G50" s="66"/>
    </row>
    <row r="51" customFormat="false" ht="15" hidden="false" customHeight="true" outlineLevel="0" collapsed="false">
      <c r="A51" s="65"/>
      <c r="B51" s="66"/>
      <c r="C51" s="66"/>
      <c r="D51" s="66"/>
      <c r="E51" s="66"/>
      <c r="F51" s="67"/>
      <c r="G51" s="66"/>
    </row>
    <row r="52" customFormat="false" ht="15" hidden="false" customHeight="true" outlineLevel="0" collapsed="false">
      <c r="A52" s="65"/>
      <c r="B52" s="66"/>
      <c r="C52" s="66"/>
      <c r="D52" s="66"/>
      <c r="E52" s="66"/>
      <c r="F52" s="67"/>
      <c r="G52" s="66"/>
    </row>
    <row r="53" customFormat="false" ht="15" hidden="false" customHeight="true" outlineLevel="0" collapsed="false">
      <c r="A53" s="65"/>
      <c r="B53" s="66"/>
      <c r="C53" s="66"/>
      <c r="D53" s="66"/>
      <c r="E53" s="66"/>
      <c r="F53" s="67"/>
      <c r="G53" s="66"/>
    </row>
    <row r="54" customFormat="false" ht="15" hidden="false" customHeight="true" outlineLevel="0" collapsed="false">
      <c r="A54" s="65"/>
      <c r="B54" s="66"/>
      <c r="C54" s="66"/>
      <c r="D54" s="66"/>
      <c r="E54" s="66"/>
      <c r="F54" s="67"/>
      <c r="G54" s="66"/>
    </row>
    <row r="55" customFormat="false" ht="15" hidden="false" customHeight="true" outlineLevel="0" collapsed="false">
      <c r="A55" s="65"/>
      <c r="B55" s="66"/>
      <c r="C55" s="66"/>
      <c r="D55" s="66"/>
      <c r="E55" s="66"/>
      <c r="F55" s="67"/>
      <c r="G55" s="66"/>
    </row>
    <row r="56" customFormat="false" ht="15" hidden="false" customHeight="true" outlineLevel="0" collapsed="false">
      <c r="A56" s="65"/>
      <c r="B56" s="66"/>
      <c r="C56" s="66"/>
      <c r="D56" s="66"/>
      <c r="E56" s="66"/>
      <c r="F56" s="67"/>
      <c r="G56" s="66"/>
    </row>
    <row r="57" customFormat="false" ht="15" hidden="false" customHeight="true" outlineLevel="0" collapsed="false">
      <c r="A57" s="65"/>
      <c r="B57" s="66"/>
      <c r="C57" s="66"/>
      <c r="D57" s="66"/>
      <c r="E57" s="66"/>
      <c r="F57" s="67"/>
      <c r="G57" s="66"/>
    </row>
    <row r="58" customFormat="false" ht="15" hidden="false" customHeight="true" outlineLevel="0" collapsed="false">
      <c r="A58" s="65"/>
      <c r="B58" s="66"/>
      <c r="C58" s="66"/>
      <c r="D58" s="66"/>
      <c r="E58" s="66"/>
      <c r="F58" s="67"/>
      <c r="G58" s="66"/>
    </row>
    <row r="59" customFormat="false" ht="15" hidden="false" customHeight="true" outlineLevel="0" collapsed="false">
      <c r="A59" s="65"/>
      <c r="B59" s="66"/>
      <c r="C59" s="66"/>
      <c r="D59" s="66"/>
      <c r="E59" s="66"/>
      <c r="F59" s="67"/>
      <c r="G59" s="66"/>
    </row>
    <row r="60" customFormat="false" ht="15" hidden="false" customHeight="true" outlineLevel="0" collapsed="false">
      <c r="A60" s="65"/>
      <c r="B60" s="66"/>
      <c r="C60" s="66"/>
      <c r="D60" s="66"/>
      <c r="E60" s="66"/>
      <c r="F60" s="67"/>
      <c r="G60" s="66"/>
    </row>
    <row r="61" customFormat="false" ht="15" hidden="false" customHeight="true" outlineLevel="0" collapsed="false">
      <c r="A61" s="65"/>
      <c r="B61" s="66"/>
      <c r="C61" s="66"/>
      <c r="D61" s="66"/>
      <c r="E61" s="66"/>
      <c r="F61" s="67"/>
      <c r="G61" s="66"/>
    </row>
    <row r="62" customFormat="false" ht="15" hidden="false" customHeight="true" outlineLevel="0" collapsed="false">
      <c r="A62" s="65"/>
      <c r="B62" s="66"/>
      <c r="C62" s="66"/>
      <c r="D62" s="66"/>
      <c r="E62" s="66"/>
      <c r="F62" s="67"/>
      <c r="G62" s="66"/>
    </row>
    <row r="63" customFormat="false" ht="15" hidden="false" customHeight="true" outlineLevel="0" collapsed="false">
      <c r="A63" s="65"/>
      <c r="B63" s="66"/>
      <c r="C63" s="66"/>
      <c r="D63" s="66"/>
      <c r="E63" s="66"/>
      <c r="F63" s="67"/>
      <c r="G63" s="66"/>
    </row>
    <row r="64" customFormat="false" ht="15" hidden="false" customHeight="true" outlineLevel="0" collapsed="false">
      <c r="A64" s="65"/>
      <c r="B64" s="66"/>
      <c r="C64" s="66"/>
      <c r="D64" s="66"/>
      <c r="E64" s="66"/>
      <c r="F64" s="67"/>
      <c r="G64" s="66"/>
    </row>
    <row r="65" customFormat="false" ht="15" hidden="false" customHeight="true" outlineLevel="0" collapsed="false">
      <c r="A65" s="65"/>
      <c r="B65" s="66"/>
      <c r="C65" s="66"/>
      <c r="D65" s="66"/>
      <c r="E65" s="66"/>
      <c r="F65" s="67"/>
      <c r="G65" s="66"/>
    </row>
    <row r="66" customFormat="false" ht="15" hidden="false" customHeight="true" outlineLevel="0" collapsed="false">
      <c r="A66" s="65"/>
      <c r="B66" s="66"/>
      <c r="C66" s="66"/>
      <c r="D66" s="66"/>
      <c r="E66" s="66"/>
      <c r="F66" s="67"/>
      <c r="G66" s="66"/>
    </row>
    <row r="67" customFormat="false" ht="15" hidden="false" customHeight="true" outlineLevel="0" collapsed="false">
      <c r="A67" s="65"/>
      <c r="B67" s="66"/>
      <c r="C67" s="66"/>
      <c r="D67" s="66"/>
      <c r="E67" s="66"/>
      <c r="F67" s="67"/>
      <c r="G67" s="66"/>
    </row>
    <row r="68" customFormat="false" ht="15" hidden="false" customHeight="true" outlineLevel="0" collapsed="false">
      <c r="A68" s="65"/>
      <c r="B68" s="66"/>
      <c r="C68" s="66"/>
      <c r="D68" s="66"/>
      <c r="E68" s="66"/>
      <c r="F68" s="67"/>
      <c r="G68" s="66"/>
    </row>
    <row r="69" customFormat="false" ht="15" hidden="false" customHeight="true" outlineLevel="0" collapsed="false">
      <c r="A69" s="65"/>
      <c r="B69" s="66"/>
      <c r="C69" s="66"/>
      <c r="D69" s="66"/>
      <c r="E69" s="66"/>
      <c r="F69" s="67"/>
      <c r="G69" s="66"/>
    </row>
    <row r="70" customFormat="false" ht="15" hidden="false" customHeight="true" outlineLevel="0" collapsed="false">
      <c r="A70" s="65"/>
      <c r="B70" s="66"/>
      <c r="C70" s="66"/>
      <c r="D70" s="66"/>
      <c r="E70" s="66"/>
      <c r="F70" s="67"/>
      <c r="G70" s="66"/>
    </row>
    <row r="71" customFormat="false" ht="15" hidden="false" customHeight="true" outlineLevel="0" collapsed="false">
      <c r="A71" s="65"/>
      <c r="B71" s="66"/>
      <c r="C71" s="66"/>
      <c r="D71" s="66"/>
      <c r="E71" s="66"/>
      <c r="F71" s="67"/>
      <c r="G71" s="66"/>
    </row>
    <row r="72" customFormat="false" ht="15" hidden="false" customHeight="true" outlineLevel="0" collapsed="false">
      <c r="A72" s="65"/>
      <c r="B72" s="66"/>
      <c r="C72" s="66"/>
      <c r="D72" s="66"/>
      <c r="E72" s="66"/>
      <c r="F72" s="67"/>
      <c r="G72" s="66"/>
    </row>
    <row r="73" customFormat="false" ht="15" hidden="false" customHeight="true" outlineLevel="0" collapsed="false">
      <c r="A73" s="65"/>
      <c r="B73" s="66"/>
      <c r="C73" s="66"/>
      <c r="D73" s="66"/>
      <c r="E73" s="66"/>
      <c r="F73" s="67"/>
      <c r="G73" s="66"/>
    </row>
    <row r="74" customFormat="false" ht="15" hidden="false" customHeight="true" outlineLevel="0" collapsed="false">
      <c r="A74" s="65"/>
      <c r="B74" s="66"/>
      <c r="C74" s="66"/>
      <c r="D74" s="66"/>
      <c r="E74" s="66"/>
      <c r="F74" s="67"/>
      <c r="G74" s="66"/>
    </row>
    <row r="75" customFormat="false" ht="15" hidden="false" customHeight="true" outlineLevel="0" collapsed="false">
      <c r="A75" s="65"/>
      <c r="B75" s="66"/>
      <c r="C75" s="66"/>
      <c r="D75" s="66"/>
      <c r="E75" s="66"/>
      <c r="F75" s="67"/>
      <c r="G75" s="66"/>
    </row>
    <row r="76" customFormat="false" ht="15" hidden="false" customHeight="true" outlineLevel="0" collapsed="false">
      <c r="A76" s="65"/>
      <c r="B76" s="66"/>
      <c r="C76" s="66"/>
      <c r="D76" s="66"/>
      <c r="E76" s="66"/>
      <c r="F76" s="67"/>
      <c r="G76" s="66"/>
    </row>
    <row r="77" customFormat="false" ht="15" hidden="false" customHeight="true" outlineLevel="0" collapsed="false">
      <c r="A77" s="65"/>
      <c r="B77" s="66"/>
      <c r="C77" s="66"/>
      <c r="D77" s="66"/>
      <c r="E77" s="66"/>
      <c r="F77" s="67"/>
      <c r="G77" s="66"/>
    </row>
    <row r="78" customFormat="false" ht="15" hidden="false" customHeight="true" outlineLevel="0" collapsed="false">
      <c r="A78" s="65"/>
      <c r="B78" s="66"/>
      <c r="C78" s="66"/>
      <c r="D78" s="66"/>
      <c r="E78" s="66"/>
      <c r="F78" s="67"/>
      <c r="G78" s="66"/>
    </row>
    <row r="79" customFormat="false" ht="15" hidden="false" customHeight="true" outlineLevel="0" collapsed="false">
      <c r="A79" s="65"/>
      <c r="B79" s="66"/>
      <c r="C79" s="66"/>
      <c r="D79" s="66"/>
      <c r="E79" s="66"/>
      <c r="F79" s="67"/>
      <c r="G79" s="66"/>
    </row>
    <row r="80" customFormat="false" ht="15" hidden="false" customHeight="true" outlineLevel="0" collapsed="false">
      <c r="A80" s="65"/>
      <c r="B80" s="66"/>
      <c r="C80" s="66"/>
      <c r="D80" s="66"/>
      <c r="E80" s="66"/>
      <c r="F80" s="67"/>
      <c r="G80" s="66"/>
    </row>
    <row r="81" customFormat="false" ht="15" hidden="false" customHeight="true" outlineLevel="0" collapsed="false">
      <c r="A81" s="65"/>
      <c r="B81" s="66"/>
      <c r="C81" s="66"/>
      <c r="D81" s="66"/>
      <c r="E81" s="66"/>
      <c r="F81" s="67"/>
      <c r="G81" s="66"/>
    </row>
    <row r="82" customFormat="false" ht="15" hidden="false" customHeight="true" outlineLevel="0" collapsed="false">
      <c r="A82" s="65"/>
      <c r="B82" s="66"/>
      <c r="C82" s="66"/>
      <c r="D82" s="66"/>
      <c r="E82" s="66"/>
      <c r="F82" s="67"/>
      <c r="G82" s="66"/>
    </row>
    <row r="83" customFormat="false" ht="15" hidden="false" customHeight="true" outlineLevel="0" collapsed="false">
      <c r="A83" s="65"/>
      <c r="B83" s="66"/>
      <c r="C83" s="66"/>
      <c r="D83" s="66"/>
      <c r="E83" s="66"/>
      <c r="F83" s="67"/>
      <c r="G83" s="66"/>
    </row>
    <row r="84" customFormat="false" ht="15" hidden="false" customHeight="true" outlineLevel="0" collapsed="false">
      <c r="A84" s="65"/>
      <c r="B84" s="66"/>
      <c r="C84" s="66"/>
      <c r="D84" s="66"/>
      <c r="E84" s="66"/>
      <c r="F84" s="67"/>
      <c r="G84" s="66"/>
    </row>
    <row r="85" customFormat="false" ht="15" hidden="false" customHeight="true" outlineLevel="0" collapsed="false">
      <c r="A85" s="65"/>
      <c r="B85" s="66"/>
      <c r="C85" s="66"/>
      <c r="D85" s="66"/>
      <c r="E85" s="66"/>
      <c r="F85" s="67"/>
      <c r="G85" s="66"/>
    </row>
    <row r="86" customFormat="false" ht="15" hidden="false" customHeight="true" outlineLevel="0" collapsed="false">
      <c r="A86" s="65"/>
      <c r="B86" s="66"/>
      <c r="C86" s="66"/>
      <c r="D86" s="66"/>
      <c r="E86" s="66"/>
      <c r="F86" s="67"/>
      <c r="G86" s="66"/>
    </row>
    <row r="87" customFormat="false" ht="15" hidden="false" customHeight="true" outlineLevel="0" collapsed="false">
      <c r="A87" s="65"/>
      <c r="B87" s="66"/>
      <c r="C87" s="66"/>
      <c r="D87" s="66"/>
      <c r="E87" s="66"/>
      <c r="F87" s="67"/>
      <c r="G87" s="66"/>
    </row>
    <row r="88" customFormat="false" ht="15" hidden="false" customHeight="true" outlineLevel="0" collapsed="false">
      <c r="A88" s="65"/>
      <c r="B88" s="66"/>
      <c r="C88" s="66"/>
      <c r="D88" s="66"/>
      <c r="E88" s="66"/>
      <c r="F88" s="67"/>
      <c r="G88" s="66"/>
    </row>
    <row r="89" customFormat="false" ht="15" hidden="false" customHeight="true" outlineLevel="0" collapsed="false">
      <c r="A89" s="65"/>
      <c r="B89" s="66"/>
      <c r="C89" s="66"/>
      <c r="D89" s="66"/>
      <c r="E89" s="66"/>
      <c r="F89" s="67"/>
      <c r="G89" s="66"/>
    </row>
    <row r="90" customFormat="false" ht="15" hidden="false" customHeight="true" outlineLevel="0" collapsed="false">
      <c r="A90" s="65"/>
      <c r="B90" s="66"/>
      <c r="C90" s="66"/>
      <c r="D90" s="66"/>
      <c r="E90" s="66"/>
      <c r="F90" s="67"/>
      <c r="G90" s="66"/>
    </row>
    <row r="91" customFormat="false" ht="15" hidden="false" customHeight="true" outlineLevel="0" collapsed="false">
      <c r="A91" s="65"/>
      <c r="B91" s="66"/>
      <c r="C91" s="66"/>
      <c r="D91" s="66"/>
      <c r="E91" s="66"/>
      <c r="F91" s="67"/>
      <c r="G91" s="66"/>
    </row>
    <row r="92" customFormat="false" ht="15" hidden="false" customHeight="true" outlineLevel="0" collapsed="false">
      <c r="A92" s="65"/>
      <c r="B92" s="66"/>
      <c r="C92" s="66"/>
      <c r="D92" s="66"/>
      <c r="E92" s="66"/>
      <c r="F92" s="67"/>
      <c r="G92" s="66"/>
    </row>
    <row r="93" customFormat="false" ht="15" hidden="false" customHeight="true" outlineLevel="0" collapsed="false">
      <c r="A93" s="65"/>
      <c r="B93" s="66"/>
      <c r="C93" s="66"/>
      <c r="D93" s="66"/>
      <c r="E93" s="66"/>
      <c r="F93" s="67"/>
      <c r="G93" s="66"/>
    </row>
    <row r="94" customFormat="false" ht="15" hidden="false" customHeight="true" outlineLevel="0" collapsed="false">
      <c r="A94" s="65"/>
      <c r="B94" s="66"/>
      <c r="C94" s="66"/>
      <c r="D94" s="66"/>
      <c r="E94" s="66"/>
      <c r="F94" s="67"/>
      <c r="G94" s="66"/>
    </row>
    <row r="95" customFormat="false" ht="15" hidden="false" customHeight="true" outlineLevel="0" collapsed="false">
      <c r="A95" s="65"/>
      <c r="B95" s="66"/>
      <c r="C95" s="66"/>
      <c r="D95" s="66"/>
      <c r="E95" s="66"/>
      <c r="F95" s="67"/>
      <c r="G95" s="66"/>
    </row>
    <row r="96" customFormat="false" ht="15" hidden="false" customHeight="true" outlineLevel="0" collapsed="false">
      <c r="A96" s="65"/>
      <c r="B96" s="66"/>
      <c r="C96" s="66"/>
      <c r="D96" s="66"/>
      <c r="E96" s="66"/>
      <c r="F96" s="67"/>
      <c r="G96" s="66"/>
    </row>
    <row r="97" customFormat="false" ht="15" hidden="false" customHeight="true" outlineLevel="0" collapsed="false">
      <c r="A97" s="65"/>
      <c r="B97" s="66"/>
      <c r="C97" s="66"/>
      <c r="D97" s="66"/>
      <c r="E97" s="66"/>
      <c r="F97" s="67"/>
      <c r="G97" s="66"/>
    </row>
    <row r="98" customFormat="false" ht="15" hidden="false" customHeight="true" outlineLevel="0" collapsed="false">
      <c r="A98" s="65"/>
      <c r="B98" s="66"/>
      <c r="C98" s="66"/>
      <c r="D98" s="66"/>
      <c r="E98" s="66"/>
      <c r="F98" s="67"/>
      <c r="G98" s="66"/>
    </row>
    <row r="99" customFormat="false" ht="15" hidden="false" customHeight="true" outlineLevel="0" collapsed="false">
      <c r="A99" s="65"/>
      <c r="B99" s="66"/>
      <c r="C99" s="66"/>
      <c r="D99" s="66"/>
      <c r="E99" s="66"/>
      <c r="F99" s="67"/>
      <c r="G99" s="66"/>
    </row>
    <row r="100" customFormat="false" ht="15" hidden="false" customHeight="true" outlineLevel="0" collapsed="false">
      <c r="A100" s="65"/>
      <c r="B100" s="66"/>
      <c r="C100" s="66"/>
      <c r="D100" s="66"/>
      <c r="E100" s="66"/>
      <c r="F100" s="67"/>
      <c r="G100" s="66"/>
    </row>
    <row r="101" customFormat="false" ht="15" hidden="false" customHeight="true" outlineLevel="0" collapsed="false">
      <c r="A101" s="65"/>
      <c r="B101" s="66"/>
      <c r="C101" s="66"/>
      <c r="D101" s="66"/>
      <c r="E101" s="66"/>
      <c r="F101" s="67"/>
      <c r="G101" s="66"/>
    </row>
    <row r="102" customFormat="false" ht="15" hidden="false" customHeight="true" outlineLevel="0" collapsed="false">
      <c r="A102" s="65"/>
      <c r="B102" s="66"/>
      <c r="C102" s="66"/>
      <c r="D102" s="66"/>
      <c r="E102" s="66"/>
      <c r="F102" s="67"/>
      <c r="G102" s="66"/>
    </row>
    <row r="103" customFormat="false" ht="15" hidden="false" customHeight="true" outlineLevel="0" collapsed="false">
      <c r="A103" s="65"/>
      <c r="B103" s="66"/>
      <c r="C103" s="66"/>
      <c r="D103" s="66"/>
      <c r="E103" s="66"/>
      <c r="F103" s="67"/>
      <c r="G103" s="66"/>
    </row>
    <row r="104" customFormat="false" ht="15" hidden="false" customHeight="true" outlineLevel="0" collapsed="false">
      <c r="A104" s="65"/>
      <c r="B104" s="66"/>
      <c r="C104" s="66"/>
      <c r="D104" s="66"/>
      <c r="E104" s="66"/>
      <c r="F104" s="67"/>
      <c r="G104" s="66"/>
    </row>
    <row r="105" customFormat="false" ht="15" hidden="false" customHeight="true" outlineLevel="0" collapsed="false">
      <c r="A105" s="65"/>
      <c r="B105" s="66"/>
      <c r="C105" s="66"/>
      <c r="D105" s="66"/>
      <c r="E105" s="66"/>
      <c r="F105" s="67"/>
      <c r="G105" s="66"/>
    </row>
    <row r="106" customFormat="false" ht="15" hidden="false" customHeight="true" outlineLevel="0" collapsed="false">
      <c r="A106" s="65"/>
      <c r="B106" s="66"/>
      <c r="C106" s="66"/>
      <c r="D106" s="66"/>
      <c r="E106" s="66"/>
      <c r="F106" s="67"/>
      <c r="G106" s="66"/>
    </row>
    <row r="107" customFormat="false" ht="15" hidden="false" customHeight="true" outlineLevel="0" collapsed="false">
      <c r="A107" s="65"/>
      <c r="B107" s="66"/>
      <c r="C107" s="66"/>
      <c r="D107" s="66"/>
      <c r="E107" s="66"/>
      <c r="F107" s="67"/>
      <c r="G107" s="66"/>
    </row>
    <row r="108" customFormat="false" ht="15" hidden="false" customHeight="true" outlineLevel="0" collapsed="false">
      <c r="A108" s="65"/>
      <c r="B108" s="66"/>
      <c r="C108" s="66"/>
      <c r="D108" s="66"/>
      <c r="E108" s="66"/>
      <c r="F108" s="67"/>
      <c r="G108" s="66"/>
    </row>
    <row r="109" customFormat="false" ht="15" hidden="false" customHeight="true" outlineLevel="0" collapsed="false">
      <c r="A109" s="65"/>
      <c r="B109" s="66"/>
      <c r="C109" s="66"/>
      <c r="D109" s="66"/>
      <c r="E109" s="66"/>
      <c r="F109" s="67"/>
      <c r="G109" s="66"/>
    </row>
    <row r="110" customFormat="false" ht="15" hidden="false" customHeight="true" outlineLevel="0" collapsed="false">
      <c r="A110" s="65"/>
      <c r="B110" s="66"/>
      <c r="C110" s="66"/>
      <c r="D110" s="66"/>
      <c r="E110" s="66"/>
      <c r="F110" s="67"/>
      <c r="G110" s="66"/>
    </row>
    <row r="111" customFormat="false" ht="15" hidden="false" customHeight="true" outlineLevel="0" collapsed="false">
      <c r="A111" s="65"/>
      <c r="B111" s="66"/>
      <c r="C111" s="66"/>
      <c r="D111" s="66"/>
      <c r="E111" s="66"/>
      <c r="F111" s="67"/>
      <c r="G111" s="66"/>
    </row>
    <row r="112" customFormat="false" ht="15" hidden="false" customHeight="true" outlineLevel="0" collapsed="false">
      <c r="A112" s="65"/>
      <c r="B112" s="66"/>
      <c r="C112" s="66"/>
      <c r="D112" s="66"/>
      <c r="E112" s="66"/>
      <c r="F112" s="67"/>
      <c r="G112" s="66"/>
    </row>
    <row r="113" customFormat="false" ht="15" hidden="false" customHeight="true" outlineLevel="0" collapsed="false">
      <c r="A113" s="65"/>
      <c r="B113" s="66"/>
      <c r="C113" s="66"/>
      <c r="D113" s="66"/>
      <c r="E113" s="66"/>
      <c r="F113" s="67"/>
      <c r="G113" s="66"/>
    </row>
    <row r="114" customFormat="false" ht="15" hidden="false" customHeight="true" outlineLevel="0" collapsed="false">
      <c r="A114" s="65"/>
      <c r="B114" s="66"/>
      <c r="C114" s="66"/>
      <c r="D114" s="66"/>
      <c r="E114" s="66"/>
      <c r="F114" s="67"/>
      <c r="G114" s="66"/>
    </row>
    <row r="115" customFormat="false" ht="15" hidden="false" customHeight="true" outlineLevel="0" collapsed="false">
      <c r="A115" s="65"/>
      <c r="B115" s="66"/>
      <c r="C115" s="66"/>
      <c r="D115" s="66"/>
      <c r="E115" s="66"/>
      <c r="F115" s="67"/>
      <c r="G115" s="66"/>
    </row>
    <row r="116" customFormat="false" ht="15" hidden="false" customHeight="true" outlineLevel="0" collapsed="false">
      <c r="A116" s="65"/>
      <c r="B116" s="66"/>
      <c r="C116" s="66"/>
      <c r="D116" s="66"/>
      <c r="E116" s="66"/>
      <c r="F116" s="67"/>
      <c r="G116" s="66"/>
    </row>
    <row r="117" customFormat="false" ht="15" hidden="false" customHeight="true" outlineLevel="0" collapsed="false">
      <c r="A117" s="65"/>
      <c r="B117" s="66"/>
      <c r="C117" s="66"/>
      <c r="D117" s="66"/>
      <c r="E117" s="66"/>
      <c r="F117" s="67"/>
      <c r="G117" s="66"/>
    </row>
    <row r="118" customFormat="false" ht="15" hidden="false" customHeight="true" outlineLevel="0" collapsed="false">
      <c r="A118" s="65"/>
      <c r="B118" s="66"/>
      <c r="C118" s="66"/>
      <c r="D118" s="66"/>
      <c r="E118" s="66"/>
      <c r="F118" s="67"/>
      <c r="G118" s="66"/>
    </row>
    <row r="119" customFormat="false" ht="15" hidden="false" customHeight="true" outlineLevel="0" collapsed="false">
      <c r="A119" s="65"/>
      <c r="B119" s="66"/>
      <c r="C119" s="66"/>
      <c r="D119" s="66"/>
      <c r="E119" s="66"/>
      <c r="F119" s="67"/>
      <c r="G119" s="66"/>
    </row>
    <row r="120" customFormat="false" ht="15" hidden="false" customHeight="true" outlineLevel="0" collapsed="false">
      <c r="A120" s="65"/>
      <c r="B120" s="66"/>
      <c r="C120" s="66"/>
      <c r="D120" s="66"/>
      <c r="E120" s="66"/>
      <c r="F120" s="67"/>
      <c r="G120" s="66"/>
    </row>
    <row r="121" customFormat="false" ht="15" hidden="false" customHeight="true" outlineLevel="0" collapsed="false">
      <c r="A121" s="65"/>
      <c r="B121" s="66"/>
      <c r="C121" s="66"/>
      <c r="D121" s="66"/>
      <c r="E121" s="66"/>
      <c r="F121" s="67"/>
      <c r="G121" s="66"/>
    </row>
    <row r="122" customFormat="false" ht="15" hidden="false" customHeight="true" outlineLevel="0" collapsed="false">
      <c r="A122" s="65"/>
      <c r="B122" s="66"/>
      <c r="C122" s="66"/>
      <c r="D122" s="66"/>
      <c r="E122" s="66"/>
      <c r="F122" s="67"/>
      <c r="G122" s="66"/>
    </row>
    <row r="123" customFormat="false" ht="15" hidden="false" customHeight="true" outlineLevel="0" collapsed="false">
      <c r="A123" s="65"/>
      <c r="B123" s="66"/>
      <c r="C123" s="66"/>
      <c r="D123" s="66"/>
      <c r="E123" s="66"/>
      <c r="F123" s="67"/>
      <c r="G123" s="66"/>
    </row>
    <row r="124" customFormat="false" ht="15" hidden="false" customHeight="true" outlineLevel="0" collapsed="false">
      <c r="A124" s="65"/>
      <c r="B124" s="66"/>
      <c r="C124" s="66"/>
      <c r="D124" s="66"/>
      <c r="E124" s="66"/>
      <c r="F124" s="67"/>
      <c r="G124" s="66"/>
    </row>
    <row r="125" customFormat="false" ht="15" hidden="false" customHeight="true" outlineLevel="0" collapsed="false">
      <c r="A125" s="65"/>
      <c r="B125" s="66"/>
      <c r="C125" s="66"/>
      <c r="D125" s="66"/>
      <c r="E125" s="66"/>
      <c r="F125" s="67"/>
      <c r="G125" s="66"/>
    </row>
    <row r="126" customFormat="false" ht="15" hidden="false" customHeight="true" outlineLevel="0" collapsed="false">
      <c r="A126" s="65"/>
      <c r="B126" s="66"/>
      <c r="C126" s="66"/>
      <c r="D126" s="66"/>
      <c r="E126" s="66"/>
      <c r="F126" s="67"/>
      <c r="G126" s="66"/>
    </row>
    <row r="127" customFormat="false" ht="15" hidden="false" customHeight="true" outlineLevel="0" collapsed="false">
      <c r="A127" s="65"/>
      <c r="B127" s="66"/>
      <c r="C127" s="66"/>
      <c r="D127" s="66"/>
      <c r="E127" s="66"/>
      <c r="F127" s="67"/>
      <c r="G127" s="66"/>
    </row>
    <row r="128" customFormat="false" ht="15" hidden="false" customHeight="true" outlineLevel="0" collapsed="false">
      <c r="A128" s="65"/>
      <c r="B128" s="66"/>
      <c r="C128" s="66"/>
      <c r="D128" s="66"/>
      <c r="E128" s="66"/>
      <c r="F128" s="67"/>
      <c r="G128" s="66"/>
    </row>
    <row r="129" customFormat="false" ht="15" hidden="false" customHeight="true" outlineLevel="0" collapsed="false">
      <c r="A129" s="65"/>
      <c r="B129" s="66"/>
      <c r="C129" s="66"/>
      <c r="D129" s="66"/>
      <c r="E129" s="66"/>
      <c r="F129" s="67"/>
      <c r="G129" s="66"/>
    </row>
    <row r="130" customFormat="false" ht="15" hidden="false" customHeight="true" outlineLevel="0" collapsed="false">
      <c r="A130" s="65"/>
      <c r="B130" s="66"/>
      <c r="C130" s="66"/>
      <c r="D130" s="66"/>
      <c r="E130" s="66"/>
      <c r="F130" s="67"/>
      <c r="G130" s="66"/>
    </row>
    <row r="131" customFormat="false" ht="15" hidden="false" customHeight="true" outlineLevel="0" collapsed="false">
      <c r="A131" s="65"/>
      <c r="B131" s="66"/>
      <c r="C131" s="66"/>
      <c r="D131" s="66"/>
      <c r="E131" s="66"/>
      <c r="F131" s="67"/>
      <c r="G131" s="66"/>
    </row>
    <row r="132" customFormat="false" ht="15" hidden="false" customHeight="true" outlineLevel="0" collapsed="false">
      <c r="A132" s="65"/>
      <c r="B132" s="66"/>
      <c r="C132" s="66"/>
      <c r="D132" s="66"/>
      <c r="E132" s="66"/>
      <c r="F132" s="67"/>
      <c r="G132" s="66"/>
    </row>
    <row r="133" customFormat="false" ht="15" hidden="false" customHeight="true" outlineLevel="0" collapsed="false">
      <c r="A133" s="65"/>
      <c r="B133" s="66"/>
      <c r="C133" s="66"/>
      <c r="D133" s="66"/>
      <c r="E133" s="66"/>
      <c r="F133" s="67"/>
      <c r="G133" s="66"/>
    </row>
    <row r="134" customFormat="false" ht="15" hidden="false" customHeight="true" outlineLevel="0" collapsed="false">
      <c r="A134" s="65"/>
      <c r="B134" s="66"/>
      <c r="C134" s="66"/>
      <c r="D134" s="66"/>
      <c r="E134" s="66"/>
      <c r="F134" s="67"/>
      <c r="G134" s="66"/>
    </row>
    <row r="135" customFormat="false" ht="15" hidden="false" customHeight="true" outlineLevel="0" collapsed="false">
      <c r="A135" s="65"/>
      <c r="B135" s="66"/>
      <c r="C135" s="66"/>
      <c r="D135" s="66"/>
      <c r="E135" s="66"/>
      <c r="F135" s="67"/>
      <c r="G135" s="66"/>
    </row>
    <row r="136" customFormat="false" ht="15" hidden="false" customHeight="true" outlineLevel="0" collapsed="false">
      <c r="A136" s="65"/>
      <c r="B136" s="66"/>
      <c r="C136" s="66"/>
      <c r="D136" s="66"/>
      <c r="E136" s="66"/>
      <c r="F136" s="67"/>
      <c r="G136" s="66"/>
    </row>
    <row r="137" customFormat="false" ht="15" hidden="false" customHeight="true" outlineLevel="0" collapsed="false">
      <c r="A137" s="65"/>
      <c r="B137" s="66"/>
      <c r="C137" s="66"/>
      <c r="D137" s="66"/>
      <c r="E137" s="66"/>
      <c r="F137" s="67"/>
      <c r="G137" s="66"/>
    </row>
    <row r="138" customFormat="false" ht="15" hidden="false" customHeight="true" outlineLevel="0" collapsed="false">
      <c r="A138" s="65"/>
      <c r="B138" s="66"/>
      <c r="C138" s="66"/>
      <c r="D138" s="66"/>
      <c r="E138" s="66"/>
      <c r="F138" s="67"/>
      <c r="G138" s="66"/>
    </row>
    <row r="139" customFormat="false" ht="15" hidden="false" customHeight="true" outlineLevel="0" collapsed="false">
      <c r="A139" s="65"/>
      <c r="B139" s="66"/>
      <c r="C139" s="66"/>
      <c r="D139" s="66"/>
      <c r="E139" s="66"/>
      <c r="F139" s="67"/>
      <c r="G139" s="66"/>
    </row>
    <row r="140" customFormat="false" ht="15" hidden="false" customHeight="true" outlineLevel="0" collapsed="false">
      <c r="A140" s="65"/>
      <c r="B140" s="66"/>
      <c r="C140" s="66"/>
      <c r="D140" s="66"/>
      <c r="E140" s="66"/>
      <c r="F140" s="67"/>
      <c r="G140" s="66"/>
    </row>
    <row r="141" customFormat="false" ht="15" hidden="false" customHeight="true" outlineLevel="0" collapsed="false">
      <c r="A141" s="65"/>
      <c r="B141" s="66"/>
      <c r="C141" s="66"/>
      <c r="D141" s="66"/>
      <c r="E141" s="66"/>
      <c r="F141" s="67"/>
      <c r="G141" s="66"/>
    </row>
    <row r="142" customFormat="false" ht="15" hidden="false" customHeight="true" outlineLevel="0" collapsed="false">
      <c r="A142" s="65"/>
      <c r="B142" s="66"/>
      <c r="C142" s="66"/>
      <c r="D142" s="66"/>
      <c r="E142" s="66"/>
      <c r="F142" s="67"/>
      <c r="G142" s="66"/>
    </row>
    <row r="143" customFormat="false" ht="15" hidden="false" customHeight="true" outlineLevel="0" collapsed="false">
      <c r="A143" s="65"/>
      <c r="B143" s="66"/>
      <c r="C143" s="66"/>
      <c r="D143" s="66"/>
      <c r="E143" s="66"/>
      <c r="F143" s="67"/>
      <c r="G143" s="66"/>
    </row>
    <row r="144" customFormat="false" ht="15" hidden="false" customHeight="true" outlineLevel="0" collapsed="false">
      <c r="A144" s="65"/>
      <c r="B144" s="66"/>
      <c r="C144" s="66"/>
      <c r="D144" s="66"/>
      <c r="E144" s="66"/>
      <c r="F144" s="67"/>
      <c r="G144" s="66"/>
    </row>
    <row r="145" customFormat="false" ht="15" hidden="false" customHeight="true" outlineLevel="0" collapsed="false">
      <c r="A145" s="65"/>
      <c r="B145" s="66"/>
      <c r="C145" s="66"/>
      <c r="D145" s="66"/>
      <c r="E145" s="66"/>
      <c r="F145" s="67"/>
      <c r="G145" s="66"/>
    </row>
    <row r="146" customFormat="false" ht="15" hidden="false" customHeight="true" outlineLevel="0" collapsed="false">
      <c r="A146" s="65"/>
      <c r="B146" s="66"/>
      <c r="C146" s="66"/>
      <c r="D146" s="66"/>
      <c r="E146" s="66"/>
      <c r="F146" s="67"/>
      <c r="G146" s="66"/>
    </row>
    <row r="147" customFormat="false" ht="15" hidden="false" customHeight="true" outlineLevel="0" collapsed="false">
      <c r="A147" s="65"/>
      <c r="B147" s="66"/>
      <c r="C147" s="66"/>
      <c r="D147" s="66"/>
      <c r="E147" s="66"/>
      <c r="F147" s="67"/>
      <c r="G147" s="66"/>
    </row>
    <row r="148" customFormat="false" ht="15" hidden="false" customHeight="true" outlineLevel="0" collapsed="false">
      <c r="A148" s="65"/>
      <c r="B148" s="66"/>
      <c r="C148" s="66"/>
      <c r="D148" s="66"/>
      <c r="E148" s="66"/>
      <c r="F148" s="67"/>
      <c r="G148" s="66"/>
    </row>
    <row r="149" customFormat="false" ht="15" hidden="false" customHeight="true" outlineLevel="0" collapsed="false">
      <c r="A149" s="65"/>
      <c r="B149" s="66"/>
      <c r="C149" s="66"/>
      <c r="D149" s="66"/>
      <c r="E149" s="66"/>
      <c r="F149" s="67"/>
      <c r="G149" s="66"/>
    </row>
    <row r="150" customFormat="false" ht="15" hidden="false" customHeight="true" outlineLevel="0" collapsed="false">
      <c r="A150" s="65"/>
      <c r="B150" s="66"/>
      <c r="C150" s="66"/>
      <c r="D150" s="66"/>
      <c r="E150" s="66"/>
      <c r="F150" s="67"/>
      <c r="G150" s="66"/>
    </row>
    <row r="151" customFormat="false" ht="15" hidden="false" customHeight="true" outlineLevel="0" collapsed="false">
      <c r="A151" s="65"/>
      <c r="B151" s="66"/>
      <c r="C151" s="66"/>
      <c r="D151" s="66"/>
      <c r="E151" s="66"/>
      <c r="F151" s="67"/>
      <c r="G151" s="66"/>
    </row>
    <row r="152" customFormat="false" ht="15" hidden="false" customHeight="true" outlineLevel="0" collapsed="false">
      <c r="A152" s="65"/>
      <c r="B152" s="66"/>
      <c r="C152" s="66"/>
      <c r="D152" s="66"/>
      <c r="E152" s="66"/>
      <c r="F152" s="67"/>
      <c r="G152" s="66"/>
    </row>
    <row r="153" customFormat="false" ht="15" hidden="false" customHeight="true" outlineLevel="0" collapsed="false">
      <c r="A153" s="65"/>
      <c r="B153" s="66"/>
      <c r="C153" s="66"/>
      <c r="D153" s="66"/>
      <c r="E153" s="66"/>
      <c r="F153" s="67"/>
      <c r="G153" s="66"/>
    </row>
    <row r="154" customFormat="false" ht="15" hidden="false" customHeight="true" outlineLevel="0" collapsed="false">
      <c r="A154" s="65"/>
      <c r="B154" s="66"/>
      <c r="C154" s="66"/>
      <c r="D154" s="66"/>
      <c r="E154" s="66"/>
      <c r="F154" s="67"/>
      <c r="G154" s="66"/>
    </row>
    <row r="155" customFormat="false" ht="15" hidden="false" customHeight="true" outlineLevel="0" collapsed="false">
      <c r="A155" s="65"/>
      <c r="B155" s="66"/>
      <c r="C155" s="66"/>
      <c r="D155" s="66"/>
      <c r="E155" s="66"/>
      <c r="F155" s="67"/>
      <c r="G155" s="66"/>
    </row>
    <row r="156" customFormat="false" ht="15" hidden="false" customHeight="true" outlineLevel="0" collapsed="false">
      <c r="A156" s="65"/>
      <c r="B156" s="66"/>
      <c r="C156" s="66"/>
      <c r="D156" s="66"/>
      <c r="E156" s="66"/>
      <c r="F156" s="67"/>
      <c r="G156" s="66"/>
    </row>
    <row r="157" customFormat="false" ht="15" hidden="false" customHeight="true" outlineLevel="0" collapsed="false">
      <c r="A157" s="65"/>
      <c r="B157" s="66"/>
      <c r="C157" s="66"/>
      <c r="D157" s="66"/>
      <c r="E157" s="66"/>
      <c r="F157" s="67"/>
      <c r="G157" s="66"/>
    </row>
    <row r="158" customFormat="false" ht="15" hidden="false" customHeight="true" outlineLevel="0" collapsed="false">
      <c r="A158" s="65"/>
      <c r="B158" s="66"/>
      <c r="C158" s="66"/>
      <c r="D158" s="66"/>
      <c r="E158" s="66"/>
      <c r="F158" s="67"/>
      <c r="G158" s="66"/>
    </row>
    <row r="159" customFormat="false" ht="15" hidden="false" customHeight="true" outlineLevel="0" collapsed="false">
      <c r="A159" s="65"/>
      <c r="B159" s="66"/>
      <c r="C159" s="66"/>
      <c r="D159" s="66"/>
      <c r="E159" s="66"/>
      <c r="F159" s="67"/>
      <c r="G159" s="66"/>
    </row>
    <row r="160" customFormat="false" ht="15" hidden="false" customHeight="true" outlineLevel="0" collapsed="false">
      <c r="A160" s="65"/>
      <c r="B160" s="66"/>
      <c r="C160" s="66"/>
      <c r="D160" s="66"/>
      <c r="E160" s="66"/>
      <c r="F160" s="67"/>
      <c r="G160" s="66"/>
    </row>
    <row r="161" customFormat="false" ht="15" hidden="false" customHeight="true" outlineLevel="0" collapsed="false">
      <c r="A161" s="65"/>
      <c r="B161" s="66"/>
      <c r="C161" s="66"/>
      <c r="D161" s="66"/>
      <c r="E161" s="66"/>
      <c r="F161" s="67"/>
      <c r="G161" s="66"/>
    </row>
    <row r="162" customFormat="false" ht="15" hidden="false" customHeight="true" outlineLevel="0" collapsed="false">
      <c r="A162" s="65"/>
      <c r="B162" s="66"/>
      <c r="C162" s="66"/>
      <c r="D162" s="66"/>
      <c r="E162" s="66"/>
      <c r="F162" s="67"/>
      <c r="G162" s="66"/>
    </row>
    <row r="163" customFormat="false" ht="15" hidden="false" customHeight="true" outlineLevel="0" collapsed="false">
      <c r="A163" s="65"/>
      <c r="B163" s="66"/>
      <c r="C163" s="66"/>
      <c r="D163" s="66"/>
      <c r="E163" s="66"/>
      <c r="F163" s="67"/>
      <c r="G163" s="66"/>
    </row>
    <row r="164" customFormat="false" ht="15" hidden="false" customHeight="true" outlineLevel="0" collapsed="false">
      <c r="A164" s="65"/>
      <c r="B164" s="66"/>
      <c r="C164" s="66"/>
      <c r="D164" s="66"/>
      <c r="E164" s="66"/>
      <c r="F164" s="67"/>
      <c r="G164" s="66"/>
    </row>
    <row r="165" customFormat="false" ht="15" hidden="false" customHeight="true" outlineLevel="0" collapsed="false">
      <c r="A165" s="65"/>
      <c r="B165" s="66"/>
      <c r="C165" s="66"/>
      <c r="D165" s="66"/>
      <c r="E165" s="66"/>
      <c r="F165" s="67"/>
      <c r="G165" s="66"/>
    </row>
    <row r="166" customFormat="false" ht="15" hidden="false" customHeight="true" outlineLevel="0" collapsed="false">
      <c r="A166" s="65"/>
      <c r="B166" s="66"/>
      <c r="C166" s="66"/>
      <c r="D166" s="66"/>
      <c r="E166" s="66"/>
      <c r="F166" s="67"/>
      <c r="G166" s="66"/>
    </row>
    <row r="167" customFormat="false" ht="15" hidden="false" customHeight="true" outlineLevel="0" collapsed="false">
      <c r="A167" s="65"/>
      <c r="B167" s="66"/>
      <c r="C167" s="66"/>
      <c r="D167" s="66"/>
      <c r="E167" s="66"/>
      <c r="F167" s="67"/>
      <c r="G167" s="66"/>
    </row>
    <row r="168" customFormat="false" ht="15" hidden="false" customHeight="true" outlineLevel="0" collapsed="false">
      <c r="A168" s="65"/>
      <c r="B168" s="66"/>
      <c r="C168" s="66"/>
      <c r="D168" s="66"/>
      <c r="E168" s="66"/>
      <c r="F168" s="67"/>
      <c r="G168" s="66"/>
    </row>
    <row r="169" customFormat="false" ht="15" hidden="false" customHeight="true" outlineLevel="0" collapsed="false">
      <c r="A169" s="65"/>
      <c r="B169" s="66"/>
      <c r="C169" s="66"/>
      <c r="D169" s="66"/>
      <c r="E169" s="66"/>
      <c r="F169" s="67"/>
      <c r="G169" s="66"/>
    </row>
    <row r="170" customFormat="false" ht="15" hidden="false" customHeight="true" outlineLevel="0" collapsed="false">
      <c r="A170" s="65"/>
      <c r="B170" s="66"/>
      <c r="C170" s="66"/>
      <c r="D170" s="66"/>
      <c r="E170" s="66"/>
      <c r="F170" s="67"/>
      <c r="G170" s="66"/>
    </row>
    <row r="171" customFormat="false" ht="15" hidden="false" customHeight="true" outlineLevel="0" collapsed="false">
      <c r="A171" s="65"/>
      <c r="B171" s="66"/>
      <c r="C171" s="66"/>
      <c r="D171" s="66"/>
      <c r="E171" s="66"/>
      <c r="F171" s="67"/>
      <c r="G171" s="66"/>
    </row>
    <row r="172" customFormat="false" ht="15" hidden="false" customHeight="true" outlineLevel="0" collapsed="false">
      <c r="A172" s="65"/>
      <c r="B172" s="66"/>
      <c r="C172" s="66"/>
      <c r="D172" s="66"/>
      <c r="E172" s="66"/>
      <c r="F172" s="67"/>
      <c r="G172" s="66"/>
    </row>
    <row r="173" customFormat="false" ht="15" hidden="false" customHeight="true" outlineLevel="0" collapsed="false">
      <c r="A173" s="65"/>
      <c r="B173" s="66"/>
      <c r="C173" s="66"/>
      <c r="D173" s="66"/>
      <c r="E173" s="66"/>
      <c r="F173" s="67"/>
      <c r="G173" s="66"/>
    </row>
    <row r="174" customFormat="false" ht="15" hidden="false" customHeight="true" outlineLevel="0" collapsed="false">
      <c r="A174" s="65"/>
      <c r="B174" s="66"/>
      <c r="C174" s="66"/>
      <c r="D174" s="66"/>
      <c r="E174" s="66"/>
      <c r="F174" s="67"/>
      <c r="G174" s="66"/>
    </row>
    <row r="175" customFormat="false" ht="15" hidden="false" customHeight="true" outlineLevel="0" collapsed="false">
      <c r="A175" s="65"/>
      <c r="B175" s="66"/>
      <c r="C175" s="66"/>
      <c r="D175" s="66"/>
      <c r="E175" s="66"/>
      <c r="F175" s="67"/>
      <c r="G175" s="66"/>
    </row>
    <row r="176" customFormat="false" ht="15" hidden="false" customHeight="true" outlineLevel="0" collapsed="false">
      <c r="A176" s="65"/>
      <c r="B176" s="66"/>
      <c r="C176" s="66"/>
      <c r="D176" s="66"/>
      <c r="E176" s="66"/>
      <c r="F176" s="67"/>
      <c r="G176" s="66"/>
    </row>
    <row r="177" customFormat="false" ht="15" hidden="false" customHeight="true" outlineLevel="0" collapsed="false">
      <c r="A177" s="65"/>
      <c r="B177" s="66"/>
      <c r="C177" s="66"/>
      <c r="D177" s="66"/>
      <c r="E177" s="66"/>
      <c r="F177" s="67"/>
      <c r="G177" s="66"/>
    </row>
    <row r="178" customFormat="false" ht="15" hidden="false" customHeight="true" outlineLevel="0" collapsed="false">
      <c r="A178" s="65"/>
      <c r="B178" s="66"/>
      <c r="C178" s="66"/>
      <c r="D178" s="66"/>
      <c r="E178" s="66"/>
      <c r="F178" s="67"/>
      <c r="G178" s="66"/>
    </row>
    <row r="179" customFormat="false" ht="15" hidden="false" customHeight="true" outlineLevel="0" collapsed="false">
      <c r="A179" s="65"/>
      <c r="B179" s="66"/>
      <c r="C179" s="66"/>
      <c r="D179" s="66"/>
      <c r="E179" s="66"/>
      <c r="F179" s="67"/>
      <c r="G179" s="66"/>
    </row>
    <row r="180" customFormat="false" ht="15" hidden="false" customHeight="true" outlineLevel="0" collapsed="false">
      <c r="A180" s="65"/>
      <c r="B180" s="66"/>
      <c r="C180" s="66"/>
      <c r="D180" s="66"/>
      <c r="E180" s="66"/>
      <c r="F180" s="67"/>
      <c r="G180" s="66"/>
    </row>
    <row r="181" customFormat="false" ht="15" hidden="false" customHeight="true" outlineLevel="0" collapsed="false">
      <c r="A181" s="65"/>
      <c r="B181" s="66"/>
      <c r="C181" s="66"/>
      <c r="D181" s="66"/>
      <c r="E181" s="66"/>
      <c r="F181" s="67"/>
      <c r="G181" s="66"/>
    </row>
    <row r="182" customFormat="false" ht="15" hidden="false" customHeight="true" outlineLevel="0" collapsed="false">
      <c r="A182" s="65"/>
      <c r="B182" s="66"/>
      <c r="C182" s="66"/>
      <c r="D182" s="66"/>
      <c r="E182" s="66"/>
      <c r="F182" s="67"/>
      <c r="G182" s="66"/>
    </row>
    <row r="183" customFormat="false" ht="15" hidden="false" customHeight="true" outlineLevel="0" collapsed="false">
      <c r="A183" s="65"/>
      <c r="B183" s="66"/>
      <c r="C183" s="66"/>
      <c r="D183" s="66"/>
      <c r="E183" s="66"/>
      <c r="F183" s="67"/>
      <c r="G183" s="66"/>
    </row>
    <row r="184" customFormat="false" ht="15" hidden="false" customHeight="true" outlineLevel="0" collapsed="false">
      <c r="A184" s="65"/>
      <c r="B184" s="66"/>
      <c r="C184" s="66"/>
      <c r="D184" s="66"/>
      <c r="E184" s="66"/>
      <c r="F184" s="67"/>
      <c r="G184" s="66"/>
    </row>
    <row r="185" customFormat="false" ht="15" hidden="false" customHeight="true" outlineLevel="0" collapsed="false">
      <c r="A185" s="65"/>
      <c r="B185" s="66"/>
      <c r="C185" s="66"/>
      <c r="D185" s="66"/>
      <c r="E185" s="66"/>
      <c r="F185" s="67"/>
      <c r="G185" s="66"/>
    </row>
    <row r="186" customFormat="false" ht="15" hidden="false" customHeight="true" outlineLevel="0" collapsed="false">
      <c r="A186" s="65"/>
      <c r="B186" s="66"/>
      <c r="C186" s="66"/>
      <c r="D186" s="66"/>
      <c r="E186" s="66"/>
      <c r="F186" s="67"/>
      <c r="G186" s="66"/>
    </row>
    <row r="187" customFormat="false" ht="15" hidden="false" customHeight="true" outlineLevel="0" collapsed="false">
      <c r="A187" s="65"/>
      <c r="B187" s="66"/>
      <c r="C187" s="66"/>
      <c r="D187" s="66"/>
      <c r="E187" s="66"/>
      <c r="F187" s="67"/>
      <c r="G187" s="66"/>
    </row>
    <row r="188" customFormat="false" ht="15" hidden="false" customHeight="true" outlineLevel="0" collapsed="false">
      <c r="A188" s="65"/>
      <c r="B188" s="66"/>
      <c r="C188" s="66"/>
      <c r="D188" s="66"/>
      <c r="E188" s="66"/>
      <c r="F188" s="67"/>
      <c r="G188" s="66"/>
    </row>
    <row r="189" customFormat="false" ht="15" hidden="false" customHeight="true" outlineLevel="0" collapsed="false">
      <c r="A189" s="65"/>
      <c r="B189" s="66"/>
      <c r="C189" s="66"/>
      <c r="D189" s="66"/>
      <c r="E189" s="66"/>
      <c r="F189" s="67"/>
      <c r="G189" s="66"/>
    </row>
    <row r="190" customFormat="false" ht="15" hidden="false" customHeight="true" outlineLevel="0" collapsed="false">
      <c r="A190" s="65"/>
      <c r="B190" s="66"/>
      <c r="C190" s="66"/>
      <c r="D190" s="66"/>
      <c r="E190" s="66"/>
      <c r="F190" s="67"/>
      <c r="G190" s="66"/>
    </row>
    <row r="191" customFormat="false" ht="15" hidden="false" customHeight="true" outlineLevel="0" collapsed="false">
      <c r="A191" s="65"/>
      <c r="B191" s="66"/>
      <c r="C191" s="66"/>
      <c r="D191" s="66"/>
      <c r="E191" s="66"/>
      <c r="F191" s="67"/>
      <c r="G191" s="66"/>
    </row>
    <row r="192" customFormat="false" ht="15" hidden="false" customHeight="true" outlineLevel="0" collapsed="false">
      <c r="A192" s="65"/>
      <c r="B192" s="66"/>
      <c r="C192" s="66"/>
      <c r="D192" s="66"/>
      <c r="E192" s="66"/>
      <c r="F192" s="67"/>
      <c r="G192" s="66"/>
    </row>
    <row r="193" customFormat="false" ht="15" hidden="false" customHeight="true" outlineLevel="0" collapsed="false">
      <c r="A193" s="65"/>
      <c r="B193" s="66"/>
      <c r="C193" s="66"/>
      <c r="D193" s="66"/>
      <c r="E193" s="66"/>
      <c r="F193" s="67"/>
      <c r="G193" s="66"/>
    </row>
    <row r="194" customFormat="false" ht="15" hidden="false" customHeight="true" outlineLevel="0" collapsed="false">
      <c r="A194" s="65"/>
      <c r="B194" s="66"/>
      <c r="C194" s="66"/>
      <c r="D194" s="66"/>
      <c r="E194" s="66"/>
      <c r="F194" s="67"/>
      <c r="G194" s="66"/>
    </row>
    <row r="195" customFormat="false" ht="15" hidden="false" customHeight="true" outlineLevel="0" collapsed="false">
      <c r="A195" s="65"/>
      <c r="B195" s="66"/>
      <c r="C195" s="66"/>
      <c r="D195" s="66"/>
      <c r="E195" s="66"/>
      <c r="F195" s="67"/>
      <c r="G195" s="66"/>
    </row>
    <row r="196" customFormat="false" ht="15" hidden="false" customHeight="true" outlineLevel="0" collapsed="false">
      <c r="A196" s="65"/>
      <c r="B196" s="66"/>
      <c r="C196" s="66"/>
      <c r="D196" s="66"/>
      <c r="E196" s="66"/>
      <c r="F196" s="67"/>
      <c r="G196" s="66"/>
    </row>
    <row r="197" customFormat="false" ht="15" hidden="false" customHeight="true" outlineLevel="0" collapsed="false">
      <c r="A197" s="65"/>
      <c r="B197" s="66"/>
      <c r="C197" s="66"/>
      <c r="D197" s="66"/>
      <c r="E197" s="66"/>
      <c r="F197" s="67"/>
      <c r="G197" s="66"/>
    </row>
    <row r="198" customFormat="false" ht="15" hidden="false" customHeight="true" outlineLevel="0" collapsed="false">
      <c r="A198" s="65"/>
      <c r="B198" s="66"/>
      <c r="C198" s="66"/>
      <c r="D198" s="66"/>
      <c r="E198" s="66"/>
      <c r="F198" s="67"/>
      <c r="G198" s="66"/>
    </row>
    <row r="199" customFormat="false" ht="15" hidden="false" customHeight="true" outlineLevel="0" collapsed="false">
      <c r="A199" s="65"/>
      <c r="B199" s="66"/>
      <c r="C199" s="66"/>
      <c r="D199" s="66"/>
      <c r="E199" s="66"/>
      <c r="F199" s="67"/>
      <c r="G199" s="66"/>
    </row>
    <row r="200" customFormat="false" ht="15" hidden="false" customHeight="true" outlineLevel="0" collapsed="false">
      <c r="A200" s="65"/>
      <c r="B200" s="66"/>
      <c r="C200" s="66"/>
      <c r="D200" s="66"/>
      <c r="E200" s="66"/>
      <c r="F200" s="67"/>
      <c r="G200" s="66"/>
    </row>
    <row r="201" customFormat="false" ht="15" hidden="false" customHeight="true" outlineLevel="0" collapsed="false">
      <c r="A201" s="65"/>
      <c r="B201" s="66"/>
      <c r="C201" s="66"/>
      <c r="D201" s="66"/>
      <c r="E201" s="66"/>
      <c r="F201" s="67"/>
      <c r="G201" s="66"/>
    </row>
    <row r="202" customFormat="false" ht="15" hidden="false" customHeight="true" outlineLevel="0" collapsed="false">
      <c r="A202" s="65"/>
      <c r="B202" s="66"/>
      <c r="C202" s="66"/>
      <c r="D202" s="66"/>
      <c r="E202" s="66"/>
      <c r="F202" s="67"/>
      <c r="G202" s="66"/>
    </row>
    <row r="203" customFormat="false" ht="15" hidden="false" customHeight="true" outlineLevel="0" collapsed="false">
      <c r="A203" s="65"/>
      <c r="B203" s="66"/>
      <c r="C203" s="66"/>
      <c r="D203" s="66"/>
      <c r="E203" s="66"/>
      <c r="F203" s="67"/>
      <c r="G203" s="66"/>
    </row>
    <row r="204" customFormat="false" ht="15" hidden="false" customHeight="true" outlineLevel="0" collapsed="false">
      <c r="A204" s="65"/>
      <c r="B204" s="66"/>
      <c r="C204" s="66"/>
      <c r="D204" s="66"/>
      <c r="E204" s="66"/>
      <c r="F204" s="67"/>
      <c r="G204" s="66"/>
    </row>
    <row r="205" customFormat="false" ht="15" hidden="false" customHeight="true" outlineLevel="0" collapsed="false">
      <c r="A205" s="65"/>
      <c r="B205" s="66"/>
      <c r="C205" s="66"/>
      <c r="D205" s="66"/>
      <c r="E205" s="66"/>
      <c r="F205" s="67"/>
      <c r="G205" s="66"/>
    </row>
    <row r="206" customFormat="false" ht="15" hidden="false" customHeight="true" outlineLevel="0" collapsed="false">
      <c r="A206" s="65"/>
      <c r="B206" s="66"/>
      <c r="C206" s="66"/>
      <c r="D206" s="66"/>
      <c r="E206" s="66"/>
      <c r="F206" s="67"/>
      <c r="G206" s="66"/>
    </row>
    <row r="207" customFormat="false" ht="15" hidden="false" customHeight="true" outlineLevel="0" collapsed="false">
      <c r="A207" s="65"/>
      <c r="B207" s="66"/>
      <c r="C207" s="66"/>
      <c r="D207" s="66"/>
      <c r="E207" s="66"/>
      <c r="F207" s="67"/>
      <c r="G207" s="66"/>
    </row>
    <row r="208" customFormat="false" ht="15" hidden="false" customHeight="true" outlineLevel="0" collapsed="false">
      <c r="A208" s="65"/>
      <c r="B208" s="66"/>
      <c r="C208" s="66"/>
      <c r="D208" s="66"/>
      <c r="E208" s="66"/>
      <c r="F208" s="67"/>
      <c r="G208" s="66"/>
    </row>
    <row r="209" customFormat="false" ht="15" hidden="false" customHeight="true" outlineLevel="0" collapsed="false">
      <c r="A209" s="65"/>
      <c r="B209" s="66"/>
      <c r="C209" s="66"/>
      <c r="D209" s="66"/>
      <c r="E209" s="66"/>
      <c r="F209" s="67"/>
      <c r="G209" s="66"/>
    </row>
    <row r="210" customFormat="false" ht="15" hidden="false" customHeight="true" outlineLevel="0" collapsed="false">
      <c r="A210" s="65"/>
      <c r="B210" s="66"/>
      <c r="C210" s="66"/>
      <c r="D210" s="66"/>
      <c r="E210" s="66"/>
      <c r="F210" s="67"/>
      <c r="G210" s="66"/>
    </row>
    <row r="211" customFormat="false" ht="15" hidden="false" customHeight="true" outlineLevel="0" collapsed="false">
      <c r="A211" s="65"/>
      <c r="B211" s="66"/>
      <c r="C211" s="66"/>
      <c r="D211" s="66"/>
      <c r="E211" s="66"/>
      <c r="F211" s="67"/>
      <c r="G211" s="66"/>
    </row>
    <row r="212" customFormat="false" ht="15" hidden="false" customHeight="true" outlineLevel="0" collapsed="false">
      <c r="A212" s="65"/>
      <c r="B212" s="66"/>
      <c r="C212" s="66"/>
      <c r="D212" s="66"/>
      <c r="E212" s="66"/>
      <c r="F212" s="67"/>
      <c r="G212" s="66"/>
    </row>
    <row r="213" customFormat="false" ht="15" hidden="false" customHeight="true" outlineLevel="0" collapsed="false">
      <c r="A213" s="65"/>
      <c r="B213" s="66"/>
      <c r="C213" s="66"/>
      <c r="D213" s="66"/>
      <c r="E213" s="66"/>
      <c r="F213" s="67"/>
      <c r="G213" s="66"/>
    </row>
    <row r="214" customFormat="false" ht="15" hidden="false" customHeight="true" outlineLevel="0" collapsed="false">
      <c r="A214" s="65"/>
      <c r="B214" s="66"/>
      <c r="C214" s="66"/>
      <c r="D214" s="66"/>
      <c r="E214" s="66"/>
      <c r="F214" s="67"/>
      <c r="G214" s="66"/>
    </row>
    <row r="215" customFormat="false" ht="15" hidden="false" customHeight="true" outlineLevel="0" collapsed="false">
      <c r="A215" s="65"/>
      <c r="B215" s="66"/>
      <c r="C215" s="66"/>
      <c r="D215" s="66"/>
      <c r="E215" s="66"/>
      <c r="F215" s="67"/>
      <c r="G215" s="66"/>
    </row>
    <row r="216" customFormat="false" ht="15" hidden="false" customHeight="true" outlineLevel="0" collapsed="false">
      <c r="A216" s="65"/>
      <c r="B216" s="66"/>
      <c r="C216" s="66"/>
      <c r="D216" s="66"/>
      <c r="E216" s="66"/>
      <c r="F216" s="67"/>
      <c r="G216" s="66"/>
    </row>
    <row r="217" customFormat="false" ht="15" hidden="false" customHeight="true" outlineLevel="0" collapsed="false">
      <c r="A217" s="65"/>
      <c r="B217" s="66"/>
      <c r="C217" s="66"/>
      <c r="D217" s="66"/>
      <c r="E217" s="66"/>
      <c r="F217" s="67"/>
      <c r="G217" s="66"/>
    </row>
    <row r="218" customFormat="false" ht="15" hidden="false" customHeight="true" outlineLevel="0" collapsed="false">
      <c r="A218" s="65"/>
      <c r="B218" s="66"/>
      <c r="C218" s="66"/>
      <c r="D218" s="66"/>
      <c r="E218" s="66"/>
      <c r="F218" s="67"/>
      <c r="G218" s="66"/>
    </row>
    <row r="219" customFormat="false" ht="15" hidden="false" customHeight="true" outlineLevel="0" collapsed="false">
      <c r="A219" s="65"/>
      <c r="B219" s="66"/>
      <c r="C219" s="66"/>
      <c r="D219" s="66"/>
      <c r="E219" s="66"/>
      <c r="F219" s="67"/>
      <c r="G219" s="66"/>
    </row>
    <row r="220" customFormat="false" ht="15" hidden="false" customHeight="true" outlineLevel="0" collapsed="false">
      <c r="A220" s="65"/>
      <c r="B220" s="66"/>
      <c r="C220" s="66"/>
      <c r="D220" s="66"/>
      <c r="E220" s="66"/>
      <c r="F220" s="67"/>
      <c r="G220" s="66"/>
    </row>
    <row r="221" customFormat="false" ht="15" hidden="false" customHeight="true" outlineLevel="0" collapsed="false">
      <c r="A221" s="65"/>
      <c r="B221" s="66"/>
      <c r="C221" s="66"/>
      <c r="D221" s="66"/>
      <c r="E221" s="66"/>
      <c r="F221" s="67"/>
      <c r="G221" s="66"/>
    </row>
    <row r="222" customFormat="false" ht="15" hidden="false" customHeight="true" outlineLevel="0" collapsed="false">
      <c r="A222" s="65"/>
      <c r="B222" s="66"/>
      <c r="C222" s="66"/>
      <c r="D222" s="66"/>
      <c r="E222" s="66"/>
      <c r="F222" s="67"/>
      <c r="G222" s="66"/>
    </row>
    <row r="223" customFormat="false" ht="15" hidden="false" customHeight="true" outlineLevel="0" collapsed="false">
      <c r="A223" s="65"/>
      <c r="B223" s="66"/>
      <c r="C223" s="66"/>
      <c r="D223" s="66"/>
      <c r="E223" s="66"/>
      <c r="F223" s="67"/>
      <c r="G223" s="66"/>
    </row>
    <row r="224" customFormat="false" ht="15" hidden="false" customHeight="true" outlineLevel="0" collapsed="false">
      <c r="A224" s="65"/>
      <c r="B224" s="66"/>
      <c r="C224" s="66"/>
      <c r="D224" s="66"/>
      <c r="E224" s="66"/>
      <c r="F224" s="67"/>
      <c r="G224" s="66"/>
    </row>
    <row r="225" customFormat="false" ht="15" hidden="false" customHeight="true" outlineLevel="0" collapsed="false">
      <c r="A225" s="65"/>
      <c r="B225" s="66"/>
      <c r="C225" s="66"/>
      <c r="D225" s="66"/>
      <c r="E225" s="66"/>
      <c r="F225" s="67"/>
      <c r="G225" s="66"/>
    </row>
    <row r="226" customFormat="false" ht="15" hidden="false" customHeight="true" outlineLevel="0" collapsed="false">
      <c r="A226" s="65"/>
      <c r="B226" s="66"/>
      <c r="C226" s="66"/>
      <c r="D226" s="66"/>
      <c r="E226" s="66"/>
      <c r="F226" s="67"/>
      <c r="G226" s="66"/>
    </row>
    <row r="227" customFormat="false" ht="15" hidden="false" customHeight="true" outlineLevel="0" collapsed="false">
      <c r="A227" s="65"/>
      <c r="B227" s="66"/>
      <c r="C227" s="66"/>
      <c r="D227" s="66"/>
      <c r="E227" s="66"/>
      <c r="F227" s="67"/>
      <c r="G227" s="66"/>
    </row>
    <row r="228" customFormat="false" ht="15" hidden="false" customHeight="true" outlineLevel="0" collapsed="false">
      <c r="A228" s="65"/>
      <c r="B228" s="66"/>
      <c r="C228" s="66"/>
      <c r="D228" s="66"/>
      <c r="E228" s="66"/>
      <c r="F228" s="67"/>
      <c r="G228" s="66"/>
    </row>
    <row r="229" customFormat="false" ht="15" hidden="false" customHeight="true" outlineLevel="0" collapsed="false">
      <c r="A229" s="65"/>
      <c r="B229" s="66"/>
      <c r="C229" s="66"/>
      <c r="D229" s="66"/>
      <c r="E229" s="66"/>
      <c r="F229" s="67"/>
      <c r="G229" s="66"/>
    </row>
    <row r="230" customFormat="false" ht="15" hidden="false" customHeight="true" outlineLevel="0" collapsed="false">
      <c r="A230" s="65"/>
      <c r="B230" s="66"/>
      <c r="C230" s="66"/>
      <c r="D230" s="66"/>
      <c r="E230" s="66"/>
      <c r="F230" s="67"/>
      <c r="G230" s="66"/>
    </row>
    <row r="231" customFormat="false" ht="15" hidden="false" customHeight="true" outlineLevel="0" collapsed="false">
      <c r="A231" s="65"/>
      <c r="B231" s="66"/>
      <c r="C231" s="66"/>
      <c r="D231" s="66"/>
      <c r="E231" s="66"/>
      <c r="F231" s="67"/>
      <c r="G231" s="66"/>
    </row>
    <row r="232" customFormat="false" ht="15" hidden="false" customHeight="true" outlineLevel="0" collapsed="false">
      <c r="A232" s="65"/>
      <c r="B232" s="66"/>
      <c r="C232" s="66"/>
      <c r="D232" s="66"/>
      <c r="E232" s="66"/>
      <c r="F232" s="67"/>
      <c r="G232" s="66"/>
    </row>
    <row r="233" customFormat="false" ht="15" hidden="false" customHeight="true" outlineLevel="0" collapsed="false">
      <c r="A233" s="65"/>
      <c r="B233" s="66"/>
      <c r="C233" s="66"/>
      <c r="D233" s="66"/>
      <c r="E233" s="66"/>
      <c r="F233" s="67"/>
      <c r="G233" s="66"/>
    </row>
    <row r="234" customFormat="false" ht="15" hidden="false" customHeight="true" outlineLevel="0" collapsed="false">
      <c r="A234" s="65"/>
      <c r="B234" s="66"/>
      <c r="C234" s="66"/>
      <c r="D234" s="66"/>
      <c r="E234" s="66"/>
      <c r="F234" s="67"/>
      <c r="G234" s="66"/>
    </row>
    <row r="235" customFormat="false" ht="15" hidden="false" customHeight="true" outlineLevel="0" collapsed="false">
      <c r="A235" s="65"/>
      <c r="B235" s="66"/>
      <c r="C235" s="66"/>
      <c r="D235" s="66"/>
      <c r="E235" s="66"/>
      <c r="F235" s="67"/>
      <c r="G235" s="66"/>
    </row>
    <row r="236" customFormat="false" ht="15" hidden="false" customHeight="true" outlineLevel="0" collapsed="false">
      <c r="A236" s="65"/>
      <c r="B236" s="66"/>
      <c r="C236" s="66"/>
      <c r="D236" s="66"/>
      <c r="E236" s="66"/>
      <c r="F236" s="67"/>
      <c r="G236" s="66"/>
    </row>
    <row r="237" customFormat="false" ht="15" hidden="false" customHeight="true" outlineLevel="0" collapsed="false">
      <c r="A237" s="65"/>
      <c r="B237" s="66"/>
      <c r="C237" s="66"/>
      <c r="D237" s="66"/>
      <c r="E237" s="66"/>
      <c r="F237" s="67"/>
      <c r="G237" s="66"/>
    </row>
    <row r="238" customFormat="false" ht="15" hidden="false" customHeight="true" outlineLevel="0" collapsed="false">
      <c r="A238" s="65"/>
      <c r="B238" s="66"/>
      <c r="C238" s="66"/>
      <c r="D238" s="66"/>
      <c r="E238" s="66"/>
      <c r="F238" s="67"/>
      <c r="G238" s="66"/>
    </row>
    <row r="239" customFormat="false" ht="15" hidden="false" customHeight="true" outlineLevel="0" collapsed="false">
      <c r="A239" s="65"/>
      <c r="B239" s="66"/>
      <c r="C239" s="66"/>
      <c r="D239" s="66"/>
      <c r="E239" s="66"/>
      <c r="F239" s="67"/>
      <c r="G239" s="66"/>
    </row>
    <row r="240" customFormat="false" ht="15" hidden="false" customHeight="true" outlineLevel="0" collapsed="false">
      <c r="A240" s="65"/>
      <c r="B240" s="66"/>
      <c r="C240" s="66"/>
      <c r="D240" s="66"/>
      <c r="E240" s="66"/>
      <c r="F240" s="67"/>
      <c r="G240" s="66"/>
    </row>
    <row r="241" customFormat="false" ht="15" hidden="false" customHeight="true" outlineLevel="0" collapsed="false">
      <c r="A241" s="65"/>
      <c r="B241" s="66"/>
      <c r="C241" s="66"/>
      <c r="D241" s="66"/>
      <c r="E241" s="66"/>
      <c r="F241" s="67"/>
      <c r="G241" s="66"/>
    </row>
    <row r="242" customFormat="false" ht="15" hidden="false" customHeight="true" outlineLevel="0" collapsed="false">
      <c r="A242" s="65"/>
      <c r="B242" s="66"/>
      <c r="C242" s="66"/>
      <c r="D242" s="66"/>
      <c r="E242" s="66"/>
      <c r="F242" s="67"/>
      <c r="G242" s="66"/>
    </row>
    <row r="243" customFormat="false" ht="15" hidden="false" customHeight="true" outlineLevel="0" collapsed="false">
      <c r="A243" s="65"/>
      <c r="B243" s="66"/>
      <c r="C243" s="66"/>
      <c r="D243" s="66"/>
      <c r="E243" s="66"/>
      <c r="F243" s="67"/>
      <c r="G243" s="66"/>
    </row>
    <row r="244" customFormat="false" ht="15" hidden="false" customHeight="true" outlineLevel="0" collapsed="false">
      <c r="A244" s="65"/>
      <c r="B244" s="66"/>
      <c r="C244" s="66"/>
      <c r="D244" s="66"/>
      <c r="E244" s="66"/>
      <c r="F244" s="67"/>
      <c r="G244" s="66"/>
    </row>
    <row r="245" customFormat="false" ht="15" hidden="false" customHeight="true" outlineLevel="0" collapsed="false">
      <c r="A245" s="65"/>
      <c r="B245" s="66"/>
      <c r="C245" s="66"/>
      <c r="D245" s="66"/>
      <c r="E245" s="66"/>
      <c r="F245" s="67"/>
      <c r="G245" s="66"/>
    </row>
    <row r="246" customFormat="false" ht="15" hidden="false" customHeight="true" outlineLevel="0" collapsed="false">
      <c r="A246" s="65"/>
      <c r="B246" s="66"/>
      <c r="C246" s="66"/>
      <c r="D246" s="66"/>
      <c r="E246" s="66"/>
      <c r="F246" s="67"/>
      <c r="G246" s="66"/>
    </row>
    <row r="247" customFormat="false" ht="15" hidden="false" customHeight="true" outlineLevel="0" collapsed="false">
      <c r="A247" s="65"/>
      <c r="B247" s="66"/>
      <c r="C247" s="66"/>
      <c r="D247" s="66"/>
      <c r="E247" s="66"/>
      <c r="F247" s="67"/>
      <c r="G247" s="66"/>
    </row>
    <row r="248" customFormat="false" ht="15" hidden="false" customHeight="true" outlineLevel="0" collapsed="false">
      <c r="A248" s="65"/>
      <c r="B248" s="66"/>
      <c r="C248" s="66"/>
      <c r="D248" s="66"/>
      <c r="E248" s="66"/>
      <c r="F248" s="67"/>
      <c r="G248" s="66"/>
    </row>
    <row r="249" customFormat="false" ht="15" hidden="false" customHeight="true" outlineLevel="0" collapsed="false">
      <c r="A249" s="65"/>
      <c r="B249" s="66"/>
      <c r="C249" s="66"/>
      <c r="D249" s="66"/>
      <c r="E249" s="66"/>
      <c r="F249" s="67"/>
      <c r="G249" s="66"/>
    </row>
    <row r="250" customFormat="false" ht="15" hidden="false" customHeight="true" outlineLevel="0" collapsed="false">
      <c r="A250" s="65"/>
      <c r="B250" s="66"/>
      <c r="C250" s="66"/>
      <c r="D250" s="66"/>
      <c r="E250" s="66"/>
      <c r="F250" s="67"/>
      <c r="G250" s="66"/>
    </row>
    <row r="251" customFormat="false" ht="15" hidden="false" customHeight="true" outlineLevel="0" collapsed="false">
      <c r="A251" s="65"/>
      <c r="B251" s="66"/>
      <c r="C251" s="66"/>
      <c r="D251" s="66"/>
      <c r="E251" s="66"/>
      <c r="F251" s="67"/>
      <c r="G251" s="66"/>
    </row>
    <row r="252" customFormat="false" ht="15" hidden="false" customHeight="true" outlineLevel="0" collapsed="false">
      <c r="A252" s="65"/>
      <c r="B252" s="66"/>
      <c r="C252" s="66"/>
      <c r="D252" s="66"/>
      <c r="E252" s="66"/>
      <c r="F252" s="67"/>
      <c r="G252" s="66"/>
    </row>
    <row r="253" customFormat="false" ht="15" hidden="false" customHeight="true" outlineLevel="0" collapsed="false">
      <c r="A253" s="65"/>
      <c r="B253" s="66"/>
      <c r="C253" s="66"/>
      <c r="D253" s="66"/>
      <c r="E253" s="66"/>
      <c r="F253" s="67"/>
      <c r="G253" s="66"/>
    </row>
    <row r="254" customFormat="false" ht="15" hidden="false" customHeight="true" outlineLevel="0" collapsed="false">
      <c r="A254" s="65"/>
      <c r="B254" s="66"/>
      <c r="C254" s="66"/>
      <c r="D254" s="66"/>
      <c r="E254" s="66"/>
      <c r="F254" s="67"/>
      <c r="G254" s="66"/>
    </row>
    <row r="255" customFormat="false" ht="15" hidden="false" customHeight="true" outlineLevel="0" collapsed="false">
      <c r="A255" s="65"/>
      <c r="B255" s="66"/>
      <c r="C255" s="66"/>
      <c r="D255" s="66"/>
      <c r="E255" s="66"/>
      <c r="F255" s="67"/>
      <c r="G255" s="66"/>
    </row>
    <row r="256" customFormat="false" ht="15" hidden="false" customHeight="true" outlineLevel="0" collapsed="false">
      <c r="A256" s="65"/>
      <c r="B256" s="66"/>
      <c r="C256" s="66"/>
      <c r="D256" s="66"/>
      <c r="E256" s="66"/>
      <c r="F256" s="67"/>
      <c r="G256" s="66"/>
    </row>
    <row r="257" customFormat="false" ht="15" hidden="false" customHeight="true" outlineLevel="0" collapsed="false">
      <c r="A257" s="65"/>
      <c r="B257" s="66"/>
      <c r="C257" s="66"/>
      <c r="D257" s="66"/>
      <c r="E257" s="66"/>
      <c r="F257" s="67"/>
      <c r="G257" s="66"/>
    </row>
    <row r="258" customFormat="false" ht="15" hidden="false" customHeight="true" outlineLevel="0" collapsed="false">
      <c r="A258" s="65"/>
      <c r="B258" s="66"/>
      <c r="C258" s="66"/>
      <c r="D258" s="66"/>
      <c r="E258" s="66"/>
      <c r="F258" s="67"/>
      <c r="G258" s="66"/>
    </row>
    <row r="259" customFormat="false" ht="15" hidden="false" customHeight="true" outlineLevel="0" collapsed="false">
      <c r="A259" s="65"/>
      <c r="B259" s="66"/>
      <c r="C259" s="66"/>
      <c r="D259" s="66"/>
      <c r="E259" s="66"/>
      <c r="F259" s="67"/>
      <c r="G259" s="66"/>
    </row>
    <row r="260" customFormat="false" ht="15" hidden="false" customHeight="true" outlineLevel="0" collapsed="false">
      <c r="A260" s="65"/>
      <c r="B260" s="66"/>
      <c r="C260" s="66"/>
      <c r="D260" s="66"/>
      <c r="E260" s="66"/>
      <c r="F260" s="67"/>
      <c r="G260" s="66"/>
    </row>
    <row r="261" customFormat="false" ht="15" hidden="false" customHeight="true" outlineLevel="0" collapsed="false">
      <c r="A261" s="65"/>
      <c r="B261" s="66"/>
      <c r="C261" s="66"/>
      <c r="D261" s="66"/>
      <c r="E261" s="66"/>
      <c r="F261" s="67"/>
      <c r="G261" s="66"/>
    </row>
    <row r="262" customFormat="false" ht="15" hidden="false" customHeight="true" outlineLevel="0" collapsed="false">
      <c r="A262" s="65"/>
      <c r="B262" s="66"/>
      <c r="C262" s="66"/>
      <c r="D262" s="66"/>
      <c r="E262" s="66"/>
      <c r="F262" s="67"/>
      <c r="G262" s="66"/>
    </row>
    <row r="263" customFormat="false" ht="15" hidden="false" customHeight="true" outlineLevel="0" collapsed="false">
      <c r="A263" s="65"/>
      <c r="B263" s="66"/>
      <c r="C263" s="66"/>
      <c r="D263" s="66"/>
      <c r="E263" s="66"/>
      <c r="F263" s="67"/>
      <c r="G263" s="66"/>
    </row>
    <row r="264" customFormat="false" ht="15" hidden="false" customHeight="true" outlineLevel="0" collapsed="false">
      <c r="A264" s="65"/>
      <c r="B264" s="66"/>
      <c r="C264" s="66"/>
      <c r="D264" s="66"/>
      <c r="E264" s="66"/>
      <c r="F264" s="67"/>
      <c r="G264" s="66"/>
    </row>
    <row r="265" customFormat="false" ht="15" hidden="false" customHeight="true" outlineLevel="0" collapsed="false">
      <c r="A265" s="65"/>
      <c r="B265" s="66"/>
      <c r="C265" s="66"/>
      <c r="D265" s="66"/>
      <c r="E265" s="66"/>
      <c r="F265" s="67"/>
      <c r="G265" s="66"/>
    </row>
    <row r="266" customFormat="false" ht="15" hidden="false" customHeight="true" outlineLevel="0" collapsed="false">
      <c r="A266" s="65"/>
      <c r="B266" s="66"/>
      <c r="C266" s="66"/>
      <c r="D266" s="66"/>
      <c r="E266" s="66"/>
      <c r="F266" s="67"/>
      <c r="G266" s="66"/>
    </row>
    <row r="267" customFormat="false" ht="15" hidden="false" customHeight="true" outlineLevel="0" collapsed="false">
      <c r="A267" s="65"/>
      <c r="B267" s="66"/>
      <c r="C267" s="66"/>
      <c r="D267" s="66"/>
      <c r="E267" s="66"/>
      <c r="F267" s="67"/>
      <c r="G267" s="66"/>
    </row>
    <row r="268" customFormat="false" ht="15" hidden="false" customHeight="true" outlineLevel="0" collapsed="false">
      <c r="A268" s="65"/>
      <c r="B268" s="66"/>
      <c r="C268" s="66"/>
      <c r="D268" s="66"/>
      <c r="E268" s="66"/>
      <c r="F268" s="67"/>
      <c r="G268" s="66"/>
    </row>
    <row r="269" customFormat="false" ht="15" hidden="false" customHeight="true" outlineLevel="0" collapsed="false">
      <c r="A269" s="65"/>
      <c r="B269" s="66"/>
      <c r="C269" s="66"/>
      <c r="D269" s="66"/>
      <c r="E269" s="66"/>
      <c r="F269" s="67"/>
      <c r="G269" s="66"/>
    </row>
    <row r="270" customFormat="false" ht="15" hidden="false" customHeight="true" outlineLevel="0" collapsed="false">
      <c r="A270" s="65"/>
      <c r="B270" s="66"/>
      <c r="C270" s="66"/>
      <c r="D270" s="66"/>
      <c r="E270" s="66"/>
      <c r="F270" s="67"/>
      <c r="G270" s="66"/>
    </row>
    <row r="271" customFormat="false" ht="15" hidden="false" customHeight="true" outlineLevel="0" collapsed="false">
      <c r="A271" s="65"/>
      <c r="B271" s="66"/>
      <c r="C271" s="66"/>
      <c r="D271" s="66"/>
      <c r="E271" s="66"/>
      <c r="F271" s="67"/>
      <c r="G271" s="66"/>
    </row>
    <row r="272" customFormat="false" ht="15" hidden="false" customHeight="true" outlineLevel="0" collapsed="false">
      <c r="A272" s="65"/>
      <c r="B272" s="66"/>
      <c r="C272" s="66"/>
      <c r="D272" s="66"/>
      <c r="E272" s="66"/>
      <c r="F272" s="67"/>
      <c r="G272" s="66"/>
    </row>
    <row r="273" customFormat="false" ht="15" hidden="false" customHeight="true" outlineLevel="0" collapsed="false">
      <c r="A273" s="65"/>
      <c r="B273" s="66"/>
      <c r="C273" s="66"/>
      <c r="D273" s="66"/>
      <c r="E273" s="66"/>
      <c r="F273" s="67"/>
      <c r="G273" s="66"/>
    </row>
    <row r="274" customFormat="false" ht="15" hidden="false" customHeight="true" outlineLevel="0" collapsed="false">
      <c r="A274" s="65"/>
      <c r="B274" s="66"/>
      <c r="C274" s="66"/>
      <c r="D274" s="66"/>
      <c r="E274" s="66"/>
      <c r="F274" s="67"/>
      <c r="G274" s="66"/>
    </row>
    <row r="275" customFormat="false" ht="15" hidden="false" customHeight="true" outlineLevel="0" collapsed="false">
      <c r="A275" s="65"/>
      <c r="B275" s="66"/>
      <c r="C275" s="66"/>
      <c r="D275" s="66"/>
      <c r="E275" s="66"/>
      <c r="F275" s="67"/>
      <c r="G275" s="66"/>
    </row>
    <row r="276" customFormat="false" ht="15" hidden="false" customHeight="true" outlineLevel="0" collapsed="false">
      <c r="A276" s="65"/>
      <c r="B276" s="66"/>
      <c r="C276" s="66"/>
      <c r="D276" s="66"/>
      <c r="E276" s="66"/>
      <c r="F276" s="67"/>
      <c r="G276" s="66"/>
    </row>
    <row r="277" customFormat="false" ht="15" hidden="false" customHeight="true" outlineLevel="0" collapsed="false">
      <c r="A277" s="65"/>
      <c r="B277" s="66"/>
      <c r="C277" s="66"/>
      <c r="D277" s="66"/>
      <c r="E277" s="66"/>
      <c r="F277" s="67"/>
      <c r="G277" s="66"/>
    </row>
    <row r="278" customFormat="false" ht="15" hidden="false" customHeight="true" outlineLevel="0" collapsed="false">
      <c r="A278" s="65"/>
      <c r="B278" s="66"/>
      <c r="C278" s="66"/>
      <c r="D278" s="66"/>
      <c r="E278" s="66"/>
      <c r="F278" s="67"/>
      <c r="G278" s="66"/>
    </row>
    <row r="279" customFormat="false" ht="15" hidden="false" customHeight="true" outlineLevel="0" collapsed="false">
      <c r="A279" s="65"/>
      <c r="B279" s="66"/>
      <c r="C279" s="66"/>
      <c r="D279" s="66"/>
      <c r="E279" s="66"/>
      <c r="F279" s="67"/>
      <c r="G279" s="66"/>
    </row>
    <row r="280" customFormat="false" ht="15" hidden="false" customHeight="true" outlineLevel="0" collapsed="false">
      <c r="A280" s="65"/>
      <c r="B280" s="66"/>
      <c r="C280" s="66"/>
      <c r="D280" s="66"/>
      <c r="E280" s="66"/>
      <c r="F280" s="67"/>
      <c r="G280" s="66"/>
    </row>
    <row r="281" customFormat="false" ht="15" hidden="false" customHeight="true" outlineLevel="0" collapsed="false">
      <c r="A281" s="65"/>
      <c r="B281" s="66"/>
      <c r="C281" s="66"/>
      <c r="D281" s="66"/>
      <c r="E281" s="66"/>
      <c r="F281" s="67"/>
      <c r="G281" s="66"/>
    </row>
    <row r="282" customFormat="false" ht="15" hidden="false" customHeight="true" outlineLevel="0" collapsed="false">
      <c r="A282" s="65"/>
      <c r="B282" s="66"/>
      <c r="C282" s="66"/>
      <c r="D282" s="66"/>
      <c r="E282" s="66"/>
      <c r="F282" s="67"/>
      <c r="G282" s="66"/>
    </row>
    <row r="283" customFormat="false" ht="15" hidden="false" customHeight="true" outlineLevel="0" collapsed="false">
      <c r="A283" s="65"/>
      <c r="B283" s="66"/>
      <c r="C283" s="66"/>
      <c r="D283" s="66"/>
      <c r="E283" s="66"/>
      <c r="F283" s="67"/>
      <c r="G283" s="66"/>
    </row>
    <row r="284" customFormat="false" ht="15" hidden="false" customHeight="true" outlineLevel="0" collapsed="false">
      <c r="A284" s="65"/>
      <c r="B284" s="66"/>
      <c r="C284" s="66"/>
      <c r="D284" s="66"/>
      <c r="E284" s="66"/>
      <c r="F284" s="67"/>
      <c r="G284" s="66"/>
    </row>
    <row r="285" customFormat="false" ht="15" hidden="false" customHeight="true" outlineLevel="0" collapsed="false">
      <c r="A285" s="65"/>
      <c r="B285" s="66"/>
      <c r="C285" s="66"/>
      <c r="D285" s="66"/>
      <c r="E285" s="66"/>
      <c r="F285" s="67"/>
      <c r="G285" s="66"/>
    </row>
    <row r="286" customFormat="false" ht="15" hidden="false" customHeight="true" outlineLevel="0" collapsed="false">
      <c r="A286" s="65"/>
      <c r="B286" s="66"/>
      <c r="C286" s="66"/>
      <c r="D286" s="66"/>
      <c r="E286" s="66"/>
      <c r="F286" s="67"/>
      <c r="G286" s="66"/>
    </row>
    <row r="287" customFormat="false" ht="15" hidden="false" customHeight="true" outlineLevel="0" collapsed="false">
      <c r="A287" s="65"/>
      <c r="B287" s="66"/>
      <c r="C287" s="66"/>
      <c r="D287" s="66"/>
      <c r="E287" s="66"/>
      <c r="F287" s="67"/>
      <c r="G287" s="66"/>
    </row>
    <row r="288" customFormat="false" ht="15" hidden="false" customHeight="true" outlineLevel="0" collapsed="false">
      <c r="A288" s="65"/>
      <c r="B288" s="66"/>
      <c r="C288" s="66"/>
      <c r="D288" s="66"/>
      <c r="E288" s="66"/>
      <c r="F288" s="67"/>
      <c r="G288" s="66"/>
    </row>
    <row r="289" customFormat="false" ht="15" hidden="false" customHeight="true" outlineLevel="0" collapsed="false">
      <c r="A289" s="65"/>
      <c r="B289" s="66"/>
      <c r="C289" s="66"/>
      <c r="D289" s="66"/>
      <c r="E289" s="66"/>
      <c r="F289" s="67"/>
      <c r="G289" s="66"/>
    </row>
    <row r="290" customFormat="false" ht="15" hidden="false" customHeight="true" outlineLevel="0" collapsed="false">
      <c r="A290" s="65"/>
      <c r="B290" s="66"/>
      <c r="C290" s="66"/>
      <c r="D290" s="66"/>
      <c r="E290" s="66"/>
      <c r="F290" s="67"/>
      <c r="G290" s="66"/>
    </row>
    <row r="291" customFormat="false" ht="15" hidden="false" customHeight="true" outlineLevel="0" collapsed="false">
      <c r="A291" s="65"/>
      <c r="B291" s="66"/>
      <c r="C291" s="66"/>
      <c r="D291" s="66"/>
      <c r="E291" s="66"/>
      <c r="F291" s="67"/>
      <c r="G291" s="66"/>
    </row>
    <row r="292" customFormat="false" ht="15" hidden="false" customHeight="true" outlineLevel="0" collapsed="false">
      <c r="A292" s="65"/>
      <c r="B292" s="66"/>
      <c r="C292" s="66"/>
      <c r="D292" s="66"/>
      <c r="E292" s="66"/>
      <c r="F292" s="67"/>
      <c r="G292" s="66"/>
    </row>
    <row r="293" customFormat="false" ht="15" hidden="false" customHeight="true" outlineLevel="0" collapsed="false">
      <c r="A293" s="65"/>
      <c r="B293" s="66"/>
      <c r="C293" s="66"/>
      <c r="D293" s="66"/>
      <c r="E293" s="66"/>
      <c r="F293" s="67"/>
      <c r="G293" s="66"/>
    </row>
    <row r="294" customFormat="false" ht="15" hidden="false" customHeight="true" outlineLevel="0" collapsed="false">
      <c r="A294" s="65"/>
      <c r="B294" s="66"/>
      <c r="C294" s="66"/>
      <c r="D294" s="66"/>
      <c r="E294" s="66"/>
      <c r="F294" s="67"/>
      <c r="G294" s="66"/>
    </row>
    <row r="295" customFormat="false" ht="15" hidden="false" customHeight="true" outlineLevel="0" collapsed="false">
      <c r="A295" s="65"/>
      <c r="B295" s="66"/>
      <c r="C295" s="66"/>
      <c r="D295" s="66"/>
      <c r="E295" s="66"/>
      <c r="F295" s="67"/>
      <c r="G295" s="66"/>
    </row>
    <row r="296" customFormat="false" ht="15" hidden="false" customHeight="true" outlineLevel="0" collapsed="false">
      <c r="A296" s="65"/>
      <c r="B296" s="66"/>
      <c r="C296" s="66"/>
      <c r="D296" s="66"/>
      <c r="E296" s="66"/>
      <c r="F296" s="67"/>
      <c r="G296" s="66"/>
    </row>
    <row r="297" customFormat="false" ht="15" hidden="false" customHeight="true" outlineLevel="0" collapsed="false">
      <c r="A297" s="65"/>
      <c r="B297" s="66"/>
      <c r="C297" s="66"/>
      <c r="D297" s="66"/>
      <c r="E297" s="66"/>
      <c r="F297" s="67"/>
      <c r="G297" s="66"/>
    </row>
    <row r="298" customFormat="false" ht="15" hidden="false" customHeight="true" outlineLevel="0" collapsed="false">
      <c r="A298" s="65"/>
      <c r="B298" s="66"/>
      <c r="C298" s="66"/>
      <c r="D298" s="66"/>
      <c r="E298" s="66"/>
      <c r="F298" s="67"/>
      <c r="G298" s="66"/>
    </row>
    <row r="299" customFormat="false" ht="15" hidden="false" customHeight="true" outlineLevel="0" collapsed="false">
      <c r="A299" s="65"/>
      <c r="B299" s="66"/>
      <c r="C299" s="66"/>
      <c r="D299" s="66"/>
      <c r="E299" s="66"/>
      <c r="F299" s="67"/>
      <c r="G299" s="66"/>
    </row>
    <row r="300" customFormat="false" ht="15" hidden="false" customHeight="true" outlineLevel="0" collapsed="false">
      <c r="A300" s="65"/>
      <c r="B300" s="66"/>
      <c r="C300" s="66"/>
      <c r="D300" s="66"/>
      <c r="E300" s="66"/>
      <c r="F300" s="67"/>
      <c r="G300" s="66"/>
    </row>
    <row r="301" customFormat="false" ht="15" hidden="false" customHeight="true" outlineLevel="0" collapsed="false">
      <c r="A301" s="65"/>
      <c r="B301" s="66"/>
      <c r="C301" s="66"/>
      <c r="D301" s="66"/>
      <c r="E301" s="66"/>
      <c r="F301" s="67"/>
      <c r="G301" s="66"/>
    </row>
    <row r="302" customFormat="false" ht="15" hidden="false" customHeight="true" outlineLevel="0" collapsed="false">
      <c r="A302" s="65"/>
      <c r="B302" s="66"/>
      <c r="C302" s="66"/>
      <c r="D302" s="66"/>
      <c r="E302" s="66"/>
      <c r="F302" s="67"/>
      <c r="G302" s="66"/>
    </row>
    <row r="303" customFormat="false" ht="15" hidden="false" customHeight="true" outlineLevel="0" collapsed="false">
      <c r="A303" s="65"/>
      <c r="B303" s="66"/>
      <c r="C303" s="66"/>
      <c r="D303" s="66"/>
      <c r="E303" s="66"/>
      <c r="F303" s="67"/>
      <c r="G303" s="66"/>
    </row>
    <row r="304" customFormat="false" ht="15" hidden="false" customHeight="true" outlineLevel="0" collapsed="false">
      <c r="A304" s="65"/>
      <c r="B304" s="66"/>
      <c r="C304" s="66"/>
      <c r="D304" s="66"/>
      <c r="E304" s="66"/>
      <c r="F304" s="67"/>
      <c r="G304" s="66"/>
    </row>
    <row r="305" customFormat="false" ht="15" hidden="false" customHeight="true" outlineLevel="0" collapsed="false">
      <c r="A305" s="65"/>
      <c r="B305" s="68"/>
      <c r="C305" s="66"/>
      <c r="D305" s="66"/>
      <c r="E305" s="66"/>
      <c r="F305" s="67"/>
      <c r="G305" s="66"/>
    </row>
    <row r="306" customFormat="false" ht="15" hidden="false" customHeight="true" outlineLevel="0" collapsed="false">
      <c r="A306" s="65"/>
      <c r="B306" s="68"/>
      <c r="C306" s="66"/>
      <c r="D306" s="66"/>
      <c r="E306" s="66"/>
      <c r="F306" s="67"/>
      <c r="G306" s="66"/>
    </row>
    <row r="307" customFormat="false" ht="15" hidden="false" customHeight="true" outlineLevel="0" collapsed="false">
      <c r="A307" s="65"/>
      <c r="B307" s="68"/>
      <c r="C307" s="66"/>
      <c r="D307" s="66"/>
      <c r="E307" s="66"/>
      <c r="F307" s="67"/>
      <c r="G307" s="66"/>
    </row>
    <row r="308" customFormat="false" ht="15" hidden="false" customHeight="true" outlineLevel="0" collapsed="false">
      <c r="A308" s="65"/>
      <c r="B308" s="68"/>
      <c r="C308" s="66"/>
      <c r="D308" s="66"/>
      <c r="E308" s="66"/>
      <c r="F308" s="67"/>
      <c r="G308" s="66"/>
    </row>
    <row r="309" customFormat="false" ht="15" hidden="false" customHeight="true" outlineLevel="0" collapsed="false">
      <c r="A309" s="65"/>
      <c r="B309" s="68"/>
      <c r="C309" s="66"/>
      <c r="D309" s="66"/>
      <c r="E309" s="66"/>
      <c r="F309" s="67"/>
      <c r="G309" s="66"/>
    </row>
    <row r="310" customFormat="false" ht="15" hidden="false" customHeight="true" outlineLevel="0" collapsed="false">
      <c r="A310" s="65"/>
      <c r="B310" s="68"/>
      <c r="C310" s="66"/>
      <c r="D310" s="66"/>
      <c r="E310" s="66"/>
      <c r="F310" s="67"/>
      <c r="G310" s="66"/>
    </row>
    <row r="311" customFormat="false" ht="15" hidden="false" customHeight="true" outlineLevel="0" collapsed="false">
      <c r="A311" s="65"/>
      <c r="B311" s="68"/>
      <c r="C311" s="66"/>
      <c r="D311" s="66"/>
      <c r="E311" s="66"/>
      <c r="F311" s="67"/>
      <c r="G311" s="66"/>
    </row>
    <row r="312" customFormat="false" ht="15" hidden="false" customHeight="true" outlineLevel="0" collapsed="false">
      <c r="A312" s="65"/>
      <c r="B312" s="68"/>
      <c r="C312" s="66"/>
      <c r="D312" s="66"/>
      <c r="E312" s="66"/>
      <c r="F312" s="67"/>
      <c r="G312" s="66"/>
    </row>
    <row r="313" customFormat="false" ht="15" hidden="false" customHeight="true" outlineLevel="0" collapsed="false">
      <c r="A313" s="65"/>
      <c r="B313" s="68"/>
      <c r="C313" s="66"/>
      <c r="D313" s="66"/>
      <c r="E313" s="66"/>
      <c r="F313" s="67"/>
      <c r="G313" s="66"/>
    </row>
    <row r="314" customFormat="false" ht="15" hidden="false" customHeight="true" outlineLevel="0" collapsed="false">
      <c r="A314" s="65"/>
      <c r="B314" s="68"/>
      <c r="C314" s="66"/>
      <c r="D314" s="66"/>
      <c r="E314" s="66"/>
      <c r="F314" s="67"/>
      <c r="G314" s="66"/>
    </row>
    <row r="315" customFormat="false" ht="15" hidden="false" customHeight="true" outlineLevel="0" collapsed="false">
      <c r="A315" s="65"/>
      <c r="B315" s="68"/>
      <c r="C315" s="66"/>
      <c r="D315" s="66"/>
      <c r="E315" s="66"/>
      <c r="F315" s="67"/>
      <c r="G315" s="66"/>
    </row>
    <row r="316" customFormat="false" ht="15" hidden="false" customHeight="true" outlineLevel="0" collapsed="false">
      <c r="A316" s="65"/>
      <c r="B316" s="68"/>
      <c r="C316" s="66"/>
      <c r="D316" s="66"/>
      <c r="E316" s="66"/>
      <c r="F316" s="67"/>
      <c r="G316" s="66"/>
    </row>
    <row r="317" customFormat="false" ht="15" hidden="false" customHeight="true" outlineLevel="0" collapsed="false">
      <c r="A317" s="65"/>
      <c r="B317" s="68"/>
      <c r="C317" s="66"/>
      <c r="D317" s="66"/>
      <c r="E317" s="66"/>
      <c r="F317" s="67"/>
      <c r="G317" s="66"/>
    </row>
    <row r="318" customFormat="false" ht="15" hidden="false" customHeight="true" outlineLevel="0" collapsed="false">
      <c r="A318" s="65"/>
      <c r="B318" s="68"/>
      <c r="C318" s="66"/>
      <c r="D318" s="66"/>
      <c r="E318" s="66"/>
      <c r="F318" s="67"/>
      <c r="G318" s="66"/>
    </row>
    <row r="319" customFormat="false" ht="15" hidden="false" customHeight="true" outlineLevel="0" collapsed="false">
      <c r="A319" s="65"/>
      <c r="B319" s="68"/>
      <c r="C319" s="66"/>
      <c r="D319" s="66"/>
      <c r="E319" s="66"/>
      <c r="F319" s="67"/>
      <c r="G319" s="66"/>
    </row>
    <row r="320" customFormat="false" ht="15" hidden="false" customHeight="true" outlineLevel="0" collapsed="false">
      <c r="A320" s="65"/>
      <c r="B320" s="68"/>
      <c r="C320" s="66"/>
      <c r="D320" s="66"/>
      <c r="E320" s="66"/>
      <c r="F320" s="67"/>
      <c r="G320" s="66"/>
    </row>
    <row r="321" customFormat="false" ht="15" hidden="false" customHeight="true" outlineLevel="0" collapsed="false">
      <c r="A321" s="65"/>
      <c r="B321" s="68"/>
      <c r="C321" s="66"/>
      <c r="D321" s="66"/>
      <c r="E321" s="66"/>
      <c r="F321" s="67"/>
      <c r="G321" s="66"/>
    </row>
    <row r="322" customFormat="false" ht="15" hidden="false" customHeight="true" outlineLevel="0" collapsed="false">
      <c r="A322" s="65"/>
      <c r="B322" s="68"/>
      <c r="C322" s="66"/>
      <c r="D322" s="66"/>
      <c r="E322" s="66"/>
      <c r="F322" s="67"/>
      <c r="G322" s="66"/>
    </row>
    <row r="323" customFormat="false" ht="15" hidden="false" customHeight="true" outlineLevel="0" collapsed="false">
      <c r="A323" s="65"/>
      <c r="B323" s="68"/>
      <c r="C323" s="66"/>
      <c r="D323" s="66"/>
      <c r="E323" s="66"/>
      <c r="F323" s="67"/>
      <c r="G323" s="66"/>
    </row>
    <row r="324" customFormat="false" ht="15" hidden="false" customHeight="true" outlineLevel="0" collapsed="false">
      <c r="A324" s="65"/>
      <c r="B324" s="68"/>
      <c r="C324" s="66"/>
      <c r="D324" s="66"/>
      <c r="E324" s="66"/>
      <c r="F324" s="67"/>
      <c r="G324" s="66"/>
    </row>
    <row r="325" customFormat="false" ht="15" hidden="false" customHeight="true" outlineLevel="0" collapsed="false">
      <c r="A325" s="65"/>
      <c r="B325" s="68"/>
      <c r="C325" s="66"/>
      <c r="D325" s="66"/>
      <c r="E325" s="66"/>
      <c r="F325" s="67"/>
      <c r="G325" s="66"/>
    </row>
    <row r="326" customFormat="false" ht="15" hidden="false" customHeight="true" outlineLevel="0" collapsed="false">
      <c r="A326" s="65"/>
      <c r="B326" s="68"/>
      <c r="C326" s="66"/>
      <c r="D326" s="66"/>
      <c r="E326" s="66"/>
      <c r="F326" s="67"/>
      <c r="G326" s="66"/>
    </row>
    <row r="327" customFormat="false" ht="15" hidden="false" customHeight="true" outlineLevel="0" collapsed="false">
      <c r="A327" s="65"/>
      <c r="B327" s="68"/>
      <c r="C327" s="66"/>
      <c r="D327" s="66"/>
      <c r="E327" s="66"/>
      <c r="F327" s="67"/>
      <c r="G327" s="66"/>
    </row>
    <row r="328" customFormat="false" ht="15" hidden="false" customHeight="true" outlineLevel="0" collapsed="false">
      <c r="A328" s="65"/>
      <c r="B328" s="68"/>
      <c r="C328" s="66"/>
      <c r="D328" s="66"/>
      <c r="E328" s="66"/>
      <c r="F328" s="67"/>
      <c r="G328" s="66"/>
    </row>
    <row r="329" customFormat="false" ht="15" hidden="false" customHeight="true" outlineLevel="0" collapsed="false">
      <c r="A329" s="65"/>
      <c r="B329" s="68"/>
      <c r="C329" s="66"/>
      <c r="D329" s="66"/>
      <c r="E329" s="66"/>
      <c r="F329" s="67"/>
      <c r="G329" s="66"/>
    </row>
    <row r="330" customFormat="false" ht="15" hidden="false" customHeight="true" outlineLevel="0" collapsed="false">
      <c r="A330" s="65"/>
      <c r="B330" s="68"/>
      <c r="C330" s="66"/>
      <c r="D330" s="66"/>
      <c r="E330" s="66"/>
      <c r="F330" s="67"/>
      <c r="G330" s="66"/>
    </row>
    <row r="331" customFormat="false" ht="15" hidden="false" customHeight="true" outlineLevel="0" collapsed="false">
      <c r="A331" s="65"/>
      <c r="B331" s="68"/>
      <c r="C331" s="66"/>
      <c r="D331" s="66"/>
      <c r="E331" s="66"/>
      <c r="F331" s="67"/>
      <c r="G331" s="66"/>
    </row>
    <row r="332" customFormat="false" ht="15" hidden="false" customHeight="true" outlineLevel="0" collapsed="false">
      <c r="A332" s="65"/>
      <c r="B332" s="68"/>
      <c r="C332" s="66"/>
      <c r="D332" s="66"/>
      <c r="E332" s="66"/>
      <c r="F332" s="67"/>
      <c r="G332" s="66"/>
    </row>
    <row r="333" customFormat="false" ht="15" hidden="false" customHeight="true" outlineLevel="0" collapsed="false">
      <c r="A333" s="65"/>
      <c r="B333" s="68"/>
      <c r="C333" s="66"/>
      <c r="D333" s="66"/>
      <c r="E333" s="66"/>
      <c r="F333" s="67"/>
      <c r="G333" s="66"/>
    </row>
    <row r="334" customFormat="false" ht="15" hidden="false" customHeight="true" outlineLevel="0" collapsed="false">
      <c r="A334" s="65"/>
      <c r="B334" s="68"/>
      <c r="C334" s="66"/>
      <c r="D334" s="66"/>
      <c r="E334" s="66"/>
      <c r="F334" s="67"/>
      <c r="G334" s="66"/>
    </row>
    <row r="335" customFormat="false" ht="15" hidden="false" customHeight="true" outlineLevel="0" collapsed="false">
      <c r="A335" s="65"/>
      <c r="B335" s="68"/>
      <c r="C335" s="66"/>
      <c r="D335" s="66"/>
      <c r="E335" s="66"/>
      <c r="F335" s="67"/>
      <c r="G335" s="66"/>
    </row>
    <row r="336" customFormat="false" ht="15" hidden="false" customHeight="true" outlineLevel="0" collapsed="false">
      <c r="A336" s="65"/>
      <c r="B336" s="68"/>
      <c r="C336" s="66"/>
      <c r="D336" s="66"/>
      <c r="E336" s="66"/>
      <c r="F336" s="67"/>
      <c r="G336" s="66"/>
    </row>
    <row r="337" customFormat="false" ht="15" hidden="false" customHeight="true" outlineLevel="0" collapsed="false">
      <c r="A337" s="65"/>
      <c r="B337" s="68"/>
      <c r="C337" s="66"/>
      <c r="D337" s="66"/>
      <c r="E337" s="66"/>
      <c r="F337" s="67"/>
      <c r="G337" s="66"/>
    </row>
    <row r="338" customFormat="false" ht="15" hidden="false" customHeight="true" outlineLevel="0" collapsed="false">
      <c r="A338" s="65"/>
      <c r="B338" s="68"/>
      <c r="C338" s="66"/>
      <c r="D338" s="66"/>
      <c r="E338" s="66"/>
      <c r="F338" s="67"/>
      <c r="G338" s="66"/>
    </row>
    <row r="339" customFormat="false" ht="15" hidden="false" customHeight="true" outlineLevel="0" collapsed="false">
      <c r="A339" s="65"/>
      <c r="B339" s="68"/>
      <c r="C339" s="66"/>
      <c r="D339" s="66"/>
      <c r="E339" s="66"/>
      <c r="F339" s="67"/>
      <c r="G339" s="66"/>
    </row>
    <row r="340" customFormat="false" ht="15" hidden="false" customHeight="true" outlineLevel="0" collapsed="false">
      <c r="A340" s="65"/>
      <c r="B340" s="68"/>
      <c r="C340" s="66"/>
      <c r="D340" s="66"/>
      <c r="E340" s="66"/>
      <c r="F340" s="67"/>
      <c r="G340" s="66"/>
    </row>
    <row r="341" customFormat="false" ht="15" hidden="false" customHeight="true" outlineLevel="0" collapsed="false">
      <c r="A341" s="65"/>
      <c r="B341" s="68"/>
      <c r="C341" s="66"/>
      <c r="D341" s="66"/>
      <c r="E341" s="66"/>
      <c r="F341" s="67"/>
      <c r="G341" s="66"/>
    </row>
    <row r="342" customFormat="false" ht="15" hidden="false" customHeight="true" outlineLevel="0" collapsed="false">
      <c r="A342" s="65"/>
      <c r="B342" s="68"/>
      <c r="C342" s="66"/>
      <c r="D342" s="66"/>
      <c r="E342" s="66"/>
      <c r="F342" s="67"/>
      <c r="G342" s="66"/>
    </row>
    <row r="343" customFormat="false" ht="15" hidden="false" customHeight="true" outlineLevel="0" collapsed="false">
      <c r="A343" s="65"/>
      <c r="B343" s="68"/>
      <c r="C343" s="66"/>
      <c r="D343" s="66"/>
      <c r="E343" s="66"/>
      <c r="F343" s="67"/>
      <c r="G343" s="66"/>
    </row>
    <row r="344" customFormat="false" ht="15" hidden="false" customHeight="true" outlineLevel="0" collapsed="false">
      <c r="A344" s="65"/>
      <c r="B344" s="68"/>
      <c r="C344" s="66"/>
      <c r="D344" s="66"/>
      <c r="E344" s="66"/>
      <c r="F344" s="67"/>
      <c r="G344" s="66"/>
    </row>
    <row r="345" customFormat="false" ht="15" hidden="false" customHeight="true" outlineLevel="0" collapsed="false">
      <c r="A345" s="65"/>
      <c r="B345" s="68"/>
      <c r="C345" s="66"/>
      <c r="D345" s="66"/>
      <c r="E345" s="66"/>
      <c r="F345" s="67"/>
      <c r="G345" s="66"/>
    </row>
    <row r="346" customFormat="false" ht="15" hidden="false" customHeight="true" outlineLevel="0" collapsed="false">
      <c r="A346" s="65"/>
      <c r="B346" s="68"/>
      <c r="C346" s="66"/>
      <c r="D346" s="66"/>
      <c r="E346" s="66"/>
      <c r="F346" s="67"/>
      <c r="G346" s="66"/>
    </row>
    <row r="347" customFormat="false" ht="15" hidden="false" customHeight="true" outlineLevel="0" collapsed="false">
      <c r="A347" s="65"/>
      <c r="B347" s="68"/>
      <c r="C347" s="66"/>
      <c r="D347" s="66"/>
      <c r="E347" s="66"/>
      <c r="F347" s="67"/>
      <c r="G347" s="66"/>
    </row>
    <row r="348" customFormat="false" ht="15" hidden="false" customHeight="true" outlineLevel="0" collapsed="false">
      <c r="A348" s="65"/>
      <c r="B348" s="68"/>
      <c r="C348" s="66"/>
      <c r="D348" s="66"/>
      <c r="E348" s="66"/>
      <c r="F348" s="67"/>
      <c r="G348" s="66"/>
    </row>
    <row r="349" customFormat="false" ht="15" hidden="false" customHeight="true" outlineLevel="0" collapsed="false">
      <c r="A349" s="65"/>
      <c r="B349" s="68"/>
      <c r="C349" s="66"/>
      <c r="D349" s="66"/>
      <c r="E349" s="66"/>
      <c r="F349" s="67"/>
      <c r="G349" s="66"/>
    </row>
    <row r="350" customFormat="false" ht="15" hidden="false" customHeight="true" outlineLevel="0" collapsed="false">
      <c r="A350" s="65"/>
      <c r="B350" s="68"/>
      <c r="C350" s="66"/>
      <c r="D350" s="66"/>
      <c r="E350" s="66"/>
      <c r="F350" s="67"/>
      <c r="G350" s="66"/>
    </row>
    <row r="351" customFormat="false" ht="15" hidden="false" customHeight="true" outlineLevel="0" collapsed="false">
      <c r="A351" s="65"/>
      <c r="B351" s="68"/>
      <c r="C351" s="66"/>
      <c r="D351" s="66"/>
      <c r="E351" s="66"/>
      <c r="F351" s="67"/>
      <c r="G351" s="66"/>
    </row>
    <row r="352" customFormat="false" ht="15" hidden="false" customHeight="true" outlineLevel="0" collapsed="false">
      <c r="A352" s="65"/>
      <c r="B352" s="68"/>
      <c r="C352" s="66"/>
      <c r="D352" s="66"/>
      <c r="E352" s="66"/>
      <c r="F352" s="67"/>
      <c r="G352" s="66"/>
    </row>
    <row r="353" customFormat="false" ht="15" hidden="false" customHeight="true" outlineLevel="0" collapsed="false">
      <c r="A353" s="65"/>
      <c r="B353" s="68"/>
      <c r="C353" s="66"/>
      <c r="D353" s="66"/>
      <c r="E353" s="66"/>
      <c r="F353" s="67"/>
      <c r="G353" s="66"/>
    </row>
    <row r="354" customFormat="false" ht="15" hidden="false" customHeight="true" outlineLevel="0" collapsed="false">
      <c r="A354" s="65"/>
      <c r="B354" s="68"/>
      <c r="C354" s="66"/>
      <c r="D354" s="66"/>
      <c r="E354" s="66"/>
      <c r="F354" s="67"/>
      <c r="G354" s="66"/>
    </row>
    <row r="355" customFormat="false" ht="15" hidden="false" customHeight="true" outlineLevel="0" collapsed="false">
      <c r="A355" s="65"/>
      <c r="B355" s="68"/>
      <c r="C355" s="66"/>
      <c r="D355" s="66"/>
      <c r="E355" s="66"/>
      <c r="F355" s="67"/>
      <c r="G355" s="66"/>
    </row>
    <row r="356" customFormat="false" ht="15" hidden="false" customHeight="true" outlineLevel="0" collapsed="false">
      <c r="A356" s="65"/>
      <c r="B356" s="68"/>
      <c r="C356" s="66"/>
      <c r="D356" s="66"/>
      <c r="E356" s="66"/>
      <c r="F356" s="67"/>
      <c r="G356" s="66"/>
    </row>
    <row r="357" customFormat="false" ht="15" hidden="false" customHeight="true" outlineLevel="0" collapsed="false">
      <c r="A357" s="65"/>
      <c r="B357" s="68"/>
      <c r="C357" s="66"/>
      <c r="D357" s="66"/>
      <c r="E357" s="66"/>
      <c r="F357" s="67"/>
      <c r="G357" s="66"/>
    </row>
    <row r="358" customFormat="false" ht="15" hidden="false" customHeight="true" outlineLevel="0" collapsed="false">
      <c r="A358" s="65"/>
      <c r="B358" s="68"/>
      <c r="C358" s="66"/>
      <c r="D358" s="66"/>
      <c r="E358" s="66"/>
      <c r="F358" s="67"/>
      <c r="G358" s="66"/>
    </row>
    <row r="359" customFormat="false" ht="15" hidden="false" customHeight="true" outlineLevel="0" collapsed="false">
      <c r="A359" s="65"/>
      <c r="B359" s="68"/>
      <c r="C359" s="66"/>
      <c r="D359" s="66"/>
      <c r="E359" s="66"/>
      <c r="F359" s="67"/>
      <c r="G359" s="66"/>
    </row>
    <row r="360" customFormat="false" ht="15" hidden="false" customHeight="true" outlineLevel="0" collapsed="false">
      <c r="A360" s="65"/>
      <c r="B360" s="68"/>
      <c r="C360" s="66"/>
      <c r="D360" s="66"/>
      <c r="E360" s="66"/>
      <c r="F360" s="67"/>
      <c r="G360" s="66"/>
    </row>
    <row r="361" customFormat="false" ht="15" hidden="false" customHeight="true" outlineLevel="0" collapsed="false">
      <c r="A361" s="65"/>
      <c r="B361" s="68"/>
      <c r="C361" s="66"/>
      <c r="D361" s="66"/>
      <c r="E361" s="66"/>
      <c r="F361" s="67"/>
      <c r="G361" s="66"/>
    </row>
    <row r="362" customFormat="false" ht="15" hidden="false" customHeight="true" outlineLevel="0" collapsed="false">
      <c r="A362" s="65"/>
      <c r="B362" s="68"/>
      <c r="C362" s="66"/>
      <c r="D362" s="66"/>
      <c r="E362" s="66"/>
      <c r="F362" s="67"/>
      <c r="G362" s="66"/>
    </row>
    <row r="363" customFormat="false" ht="15" hidden="false" customHeight="true" outlineLevel="0" collapsed="false">
      <c r="A363" s="65"/>
      <c r="B363" s="68"/>
      <c r="C363" s="66"/>
      <c r="D363" s="66"/>
      <c r="E363" s="66"/>
      <c r="F363" s="67"/>
      <c r="G363" s="66"/>
    </row>
    <row r="364" customFormat="false" ht="15" hidden="false" customHeight="true" outlineLevel="0" collapsed="false">
      <c r="A364" s="65"/>
      <c r="B364" s="68"/>
      <c r="C364" s="66"/>
      <c r="D364" s="66"/>
      <c r="E364" s="66"/>
      <c r="F364" s="67"/>
      <c r="G364" s="66"/>
    </row>
    <row r="365" customFormat="false" ht="15" hidden="false" customHeight="true" outlineLevel="0" collapsed="false">
      <c r="A365" s="65"/>
      <c r="B365" s="68"/>
      <c r="C365" s="66"/>
      <c r="D365" s="66"/>
      <c r="E365" s="66"/>
      <c r="F365" s="67"/>
      <c r="G365" s="66"/>
    </row>
    <row r="366" customFormat="false" ht="15" hidden="false" customHeight="true" outlineLevel="0" collapsed="false">
      <c r="A366" s="65"/>
      <c r="B366" s="68"/>
      <c r="C366" s="66"/>
      <c r="D366" s="66"/>
      <c r="E366" s="66"/>
      <c r="F366" s="67"/>
      <c r="G366" s="66"/>
    </row>
    <row r="367" customFormat="false" ht="15" hidden="false" customHeight="true" outlineLevel="0" collapsed="false">
      <c r="A367" s="65"/>
      <c r="B367" s="68"/>
      <c r="C367" s="66"/>
      <c r="D367" s="66"/>
      <c r="E367" s="66"/>
      <c r="F367" s="67"/>
      <c r="G367" s="66"/>
    </row>
    <row r="368" customFormat="false" ht="15" hidden="false" customHeight="true" outlineLevel="0" collapsed="false">
      <c r="A368" s="65"/>
      <c r="B368" s="68"/>
      <c r="C368" s="66"/>
      <c r="D368" s="66"/>
      <c r="E368" s="66"/>
      <c r="F368" s="67"/>
      <c r="G368" s="66"/>
    </row>
    <row r="369" customFormat="false" ht="15" hidden="false" customHeight="true" outlineLevel="0" collapsed="false">
      <c r="A369" s="65"/>
      <c r="B369" s="68"/>
      <c r="C369" s="66"/>
      <c r="D369" s="66"/>
      <c r="E369" s="66"/>
      <c r="F369" s="67"/>
      <c r="G369" s="66"/>
    </row>
    <row r="370" customFormat="false" ht="15" hidden="false" customHeight="true" outlineLevel="0" collapsed="false">
      <c r="A370" s="65"/>
      <c r="B370" s="68"/>
      <c r="C370" s="66"/>
      <c r="D370" s="66"/>
      <c r="E370" s="66"/>
      <c r="F370" s="67"/>
      <c r="G370" s="66"/>
    </row>
    <row r="371" customFormat="false" ht="15" hidden="false" customHeight="true" outlineLevel="0" collapsed="false">
      <c r="A371" s="65"/>
      <c r="B371" s="68"/>
      <c r="C371" s="66"/>
      <c r="D371" s="66"/>
      <c r="E371" s="66"/>
      <c r="F371" s="67"/>
      <c r="G371" s="66"/>
    </row>
    <row r="372" customFormat="false" ht="15" hidden="false" customHeight="true" outlineLevel="0" collapsed="false">
      <c r="A372" s="65"/>
      <c r="B372" s="68"/>
      <c r="C372" s="66"/>
      <c r="D372" s="66"/>
      <c r="E372" s="66"/>
      <c r="F372" s="67"/>
      <c r="G372" s="66"/>
    </row>
    <row r="373" customFormat="false" ht="15" hidden="false" customHeight="true" outlineLevel="0" collapsed="false">
      <c r="A373" s="65"/>
      <c r="B373" s="68"/>
      <c r="C373" s="66"/>
      <c r="D373" s="66"/>
      <c r="E373" s="66"/>
      <c r="F373" s="67"/>
      <c r="G373" s="66"/>
    </row>
    <row r="374" customFormat="false" ht="15" hidden="false" customHeight="true" outlineLevel="0" collapsed="false">
      <c r="A374" s="65"/>
      <c r="B374" s="68"/>
      <c r="C374" s="66"/>
      <c r="D374" s="66"/>
      <c r="E374" s="66"/>
      <c r="F374" s="67"/>
      <c r="G374" s="66"/>
    </row>
    <row r="375" customFormat="false" ht="15" hidden="false" customHeight="true" outlineLevel="0" collapsed="false">
      <c r="A375" s="65"/>
      <c r="B375" s="68"/>
      <c r="C375" s="66"/>
      <c r="D375" s="66"/>
      <c r="E375" s="66"/>
      <c r="F375" s="67"/>
      <c r="G375" s="66"/>
    </row>
    <row r="376" customFormat="false" ht="15" hidden="false" customHeight="true" outlineLevel="0" collapsed="false">
      <c r="A376" s="65"/>
      <c r="B376" s="68"/>
      <c r="C376" s="66"/>
      <c r="D376" s="66"/>
      <c r="E376" s="66"/>
      <c r="F376" s="67"/>
      <c r="G376" s="66"/>
    </row>
    <row r="377" customFormat="false" ht="15" hidden="false" customHeight="true" outlineLevel="0" collapsed="false">
      <c r="A377" s="65"/>
      <c r="B377" s="68"/>
      <c r="C377" s="66"/>
      <c r="D377" s="66"/>
      <c r="E377" s="66"/>
      <c r="F377" s="67"/>
      <c r="G377" s="66"/>
    </row>
    <row r="378" customFormat="false" ht="15" hidden="false" customHeight="true" outlineLevel="0" collapsed="false">
      <c r="A378" s="65"/>
      <c r="B378" s="68"/>
      <c r="C378" s="66"/>
      <c r="D378" s="66"/>
      <c r="E378" s="66"/>
      <c r="F378" s="67"/>
      <c r="G378" s="66"/>
    </row>
    <row r="379" customFormat="false" ht="15" hidden="false" customHeight="true" outlineLevel="0" collapsed="false">
      <c r="A379" s="65"/>
      <c r="B379" s="68"/>
      <c r="C379" s="66"/>
      <c r="D379" s="66"/>
      <c r="E379" s="66"/>
      <c r="F379" s="67"/>
      <c r="G379" s="66"/>
    </row>
    <row r="380" customFormat="false" ht="15" hidden="false" customHeight="true" outlineLevel="0" collapsed="false">
      <c r="A380" s="65"/>
      <c r="B380" s="68"/>
      <c r="C380" s="66"/>
      <c r="D380" s="66"/>
      <c r="E380" s="66"/>
      <c r="F380" s="67"/>
      <c r="G380" s="66"/>
    </row>
    <row r="381" customFormat="false" ht="15" hidden="false" customHeight="true" outlineLevel="0" collapsed="false">
      <c r="A381" s="65"/>
      <c r="B381" s="68"/>
      <c r="C381" s="66"/>
      <c r="D381" s="66"/>
      <c r="E381" s="66"/>
      <c r="F381" s="67"/>
      <c r="G381" s="66"/>
    </row>
    <row r="382" customFormat="false" ht="15" hidden="false" customHeight="true" outlineLevel="0" collapsed="false">
      <c r="A382" s="65"/>
      <c r="B382" s="68"/>
      <c r="C382" s="66"/>
      <c r="D382" s="66"/>
      <c r="E382" s="66"/>
      <c r="F382" s="67"/>
      <c r="G382" s="66"/>
    </row>
    <row r="383" customFormat="false" ht="15" hidden="false" customHeight="true" outlineLevel="0" collapsed="false">
      <c r="A383" s="65"/>
      <c r="B383" s="68"/>
      <c r="C383" s="66"/>
      <c r="D383" s="66"/>
      <c r="E383" s="66"/>
      <c r="F383" s="67"/>
      <c r="G383" s="66"/>
    </row>
    <row r="384" customFormat="false" ht="15" hidden="false" customHeight="true" outlineLevel="0" collapsed="false">
      <c r="A384" s="65"/>
      <c r="B384" s="68"/>
      <c r="C384" s="66"/>
      <c r="D384" s="66"/>
      <c r="E384" s="66"/>
      <c r="F384" s="67"/>
      <c r="G384" s="66"/>
    </row>
    <row r="385" customFormat="false" ht="15" hidden="false" customHeight="true" outlineLevel="0" collapsed="false">
      <c r="A385" s="65"/>
      <c r="B385" s="68"/>
      <c r="C385" s="66"/>
      <c r="D385" s="66"/>
      <c r="E385" s="66"/>
      <c r="F385" s="67"/>
      <c r="G385" s="66"/>
    </row>
    <row r="386" customFormat="false" ht="15" hidden="false" customHeight="true" outlineLevel="0" collapsed="false">
      <c r="A386" s="65"/>
      <c r="B386" s="68"/>
      <c r="C386" s="66"/>
      <c r="D386" s="66"/>
      <c r="E386" s="66"/>
      <c r="F386" s="67"/>
      <c r="G386" s="66"/>
    </row>
    <row r="387" customFormat="false" ht="15" hidden="false" customHeight="true" outlineLevel="0" collapsed="false">
      <c r="A387" s="65"/>
      <c r="B387" s="68"/>
      <c r="C387" s="66"/>
      <c r="D387" s="66"/>
      <c r="E387" s="66"/>
      <c r="F387" s="67"/>
      <c r="G387" s="66"/>
    </row>
    <row r="388" customFormat="false" ht="15" hidden="false" customHeight="true" outlineLevel="0" collapsed="false">
      <c r="A388" s="65"/>
      <c r="B388" s="68"/>
      <c r="C388" s="66"/>
      <c r="D388" s="66"/>
      <c r="E388" s="66"/>
      <c r="F388" s="67"/>
      <c r="G388" s="66"/>
    </row>
    <row r="389" customFormat="false" ht="15" hidden="false" customHeight="true" outlineLevel="0" collapsed="false">
      <c r="A389" s="65"/>
      <c r="B389" s="68"/>
      <c r="C389" s="66"/>
      <c r="D389" s="66"/>
      <c r="E389" s="66"/>
      <c r="F389" s="67"/>
      <c r="G389" s="66"/>
    </row>
    <row r="390" customFormat="false" ht="15" hidden="false" customHeight="true" outlineLevel="0" collapsed="false">
      <c r="A390" s="65"/>
      <c r="B390" s="68"/>
      <c r="C390" s="66"/>
      <c r="D390" s="66"/>
      <c r="E390" s="66"/>
      <c r="F390" s="67"/>
      <c r="G390" s="66"/>
    </row>
    <row r="391" customFormat="false" ht="15" hidden="false" customHeight="true" outlineLevel="0" collapsed="false">
      <c r="A391" s="65"/>
      <c r="B391" s="68"/>
      <c r="C391" s="66"/>
      <c r="D391" s="66"/>
      <c r="E391" s="66"/>
      <c r="F391" s="67"/>
      <c r="G391" s="66"/>
    </row>
    <row r="392" customFormat="false" ht="15" hidden="false" customHeight="true" outlineLevel="0" collapsed="false">
      <c r="A392" s="65"/>
      <c r="B392" s="68"/>
      <c r="C392" s="66"/>
      <c r="D392" s="66"/>
      <c r="E392" s="66"/>
      <c r="F392" s="67"/>
      <c r="G392" s="66"/>
    </row>
    <row r="393" customFormat="false" ht="15" hidden="false" customHeight="true" outlineLevel="0" collapsed="false">
      <c r="A393" s="65"/>
      <c r="B393" s="68"/>
      <c r="C393" s="66"/>
      <c r="D393" s="66"/>
      <c r="E393" s="66"/>
      <c r="F393" s="67"/>
      <c r="G393" s="66"/>
    </row>
    <row r="394" customFormat="false" ht="15" hidden="false" customHeight="true" outlineLevel="0" collapsed="false">
      <c r="A394" s="65"/>
      <c r="B394" s="68"/>
      <c r="C394" s="66"/>
      <c r="D394" s="66"/>
      <c r="E394" s="66"/>
      <c r="F394" s="67"/>
      <c r="G394" s="66"/>
    </row>
    <row r="395" customFormat="false" ht="15" hidden="false" customHeight="true" outlineLevel="0" collapsed="false">
      <c r="A395" s="65"/>
      <c r="B395" s="68"/>
      <c r="C395" s="66"/>
      <c r="D395" s="66"/>
      <c r="E395" s="66"/>
      <c r="F395" s="67"/>
      <c r="G395" s="66"/>
    </row>
    <row r="396" customFormat="false" ht="15" hidden="false" customHeight="true" outlineLevel="0" collapsed="false">
      <c r="A396" s="65"/>
      <c r="B396" s="68"/>
      <c r="C396" s="66"/>
      <c r="D396" s="66"/>
      <c r="E396" s="66"/>
      <c r="F396" s="67"/>
      <c r="G396" s="66"/>
    </row>
    <row r="397" customFormat="false" ht="15" hidden="false" customHeight="true" outlineLevel="0" collapsed="false">
      <c r="A397" s="65"/>
      <c r="B397" s="68"/>
      <c r="C397" s="66"/>
      <c r="D397" s="66"/>
      <c r="E397" s="66"/>
      <c r="F397" s="67"/>
      <c r="G397" s="66"/>
    </row>
    <row r="398" customFormat="false" ht="15" hidden="false" customHeight="true" outlineLevel="0" collapsed="false">
      <c r="A398" s="65"/>
      <c r="B398" s="68"/>
      <c r="C398" s="66"/>
      <c r="D398" s="66"/>
      <c r="E398" s="66"/>
      <c r="F398" s="67"/>
      <c r="G398" s="66"/>
    </row>
    <row r="399" customFormat="false" ht="15" hidden="false" customHeight="true" outlineLevel="0" collapsed="false">
      <c r="A399" s="65"/>
      <c r="B399" s="68"/>
      <c r="C399" s="66"/>
      <c r="D399" s="66"/>
      <c r="E399" s="66"/>
      <c r="F399" s="67"/>
      <c r="G399" s="66"/>
    </row>
    <row r="400" customFormat="false" ht="15" hidden="false" customHeight="true" outlineLevel="0" collapsed="false">
      <c r="A400" s="65"/>
      <c r="B400" s="68"/>
      <c r="C400" s="66"/>
      <c r="D400" s="66"/>
      <c r="E400" s="66"/>
      <c r="F400" s="67"/>
      <c r="G400" s="66"/>
    </row>
    <row r="401" customFormat="false" ht="15" hidden="false" customHeight="true" outlineLevel="0" collapsed="false">
      <c r="A401" s="65"/>
      <c r="B401" s="68"/>
      <c r="C401" s="66"/>
      <c r="D401" s="66"/>
      <c r="E401" s="66"/>
      <c r="F401" s="67"/>
      <c r="G401" s="66"/>
    </row>
    <row r="402" customFormat="false" ht="15" hidden="false" customHeight="true" outlineLevel="0" collapsed="false">
      <c r="A402" s="65"/>
      <c r="B402" s="68"/>
      <c r="C402" s="66"/>
      <c r="D402" s="66"/>
      <c r="E402" s="66"/>
      <c r="F402" s="67"/>
      <c r="G402" s="66"/>
    </row>
    <row r="403" customFormat="false" ht="15" hidden="false" customHeight="true" outlineLevel="0" collapsed="false">
      <c r="A403" s="65"/>
      <c r="B403" s="68"/>
      <c r="C403" s="66"/>
      <c r="D403" s="66"/>
      <c r="E403" s="66"/>
      <c r="F403" s="67"/>
      <c r="G403" s="66"/>
    </row>
    <row r="404" customFormat="false" ht="15" hidden="false" customHeight="true" outlineLevel="0" collapsed="false">
      <c r="A404" s="65"/>
      <c r="B404" s="68"/>
      <c r="C404" s="66"/>
      <c r="D404" s="66"/>
      <c r="E404" s="66"/>
      <c r="F404" s="67"/>
      <c r="G404" s="66"/>
    </row>
    <row r="405" customFormat="false" ht="15" hidden="false" customHeight="true" outlineLevel="0" collapsed="false">
      <c r="A405" s="65"/>
      <c r="B405" s="68"/>
      <c r="C405" s="66"/>
      <c r="D405" s="66"/>
      <c r="E405" s="66"/>
      <c r="F405" s="67"/>
      <c r="G405" s="66"/>
    </row>
    <row r="406" customFormat="false" ht="15" hidden="false" customHeight="true" outlineLevel="0" collapsed="false">
      <c r="A406" s="65"/>
      <c r="B406" s="68"/>
      <c r="C406" s="66"/>
      <c r="D406" s="66"/>
      <c r="E406" s="66"/>
      <c r="F406" s="67"/>
      <c r="G406" s="66"/>
    </row>
    <row r="407" customFormat="false" ht="15" hidden="false" customHeight="true" outlineLevel="0" collapsed="false">
      <c r="A407" s="65"/>
      <c r="B407" s="68"/>
      <c r="C407" s="66"/>
      <c r="D407" s="66"/>
      <c r="E407" s="66"/>
      <c r="F407" s="67"/>
      <c r="G407" s="66"/>
    </row>
    <row r="408" customFormat="false" ht="15" hidden="false" customHeight="true" outlineLevel="0" collapsed="false">
      <c r="A408" s="65"/>
      <c r="B408" s="68"/>
      <c r="C408" s="66"/>
      <c r="D408" s="66"/>
      <c r="E408" s="66"/>
      <c r="F408" s="67"/>
      <c r="G408" s="66"/>
    </row>
    <row r="409" customFormat="false" ht="15" hidden="false" customHeight="true" outlineLevel="0" collapsed="false">
      <c r="A409" s="65"/>
      <c r="B409" s="68"/>
      <c r="C409" s="66"/>
      <c r="D409" s="66"/>
      <c r="E409" s="66"/>
      <c r="F409" s="67"/>
      <c r="G409" s="66"/>
    </row>
    <row r="410" customFormat="false" ht="15" hidden="false" customHeight="true" outlineLevel="0" collapsed="false">
      <c r="A410" s="65"/>
      <c r="B410" s="68"/>
      <c r="C410" s="66"/>
      <c r="D410" s="66"/>
      <c r="E410" s="66"/>
      <c r="F410" s="67"/>
      <c r="G410" s="66"/>
    </row>
    <row r="411" customFormat="false" ht="15" hidden="false" customHeight="true" outlineLevel="0" collapsed="false">
      <c r="A411" s="65"/>
      <c r="B411" s="68"/>
      <c r="C411" s="66"/>
      <c r="D411" s="66"/>
      <c r="E411" s="66"/>
      <c r="F411" s="67"/>
      <c r="G411" s="66"/>
    </row>
    <row r="412" customFormat="false" ht="15" hidden="false" customHeight="true" outlineLevel="0" collapsed="false">
      <c r="A412" s="65"/>
      <c r="B412" s="68"/>
      <c r="C412" s="66"/>
      <c r="D412" s="66"/>
      <c r="E412" s="66"/>
      <c r="F412" s="67"/>
      <c r="G412" s="66"/>
    </row>
    <row r="413" customFormat="false" ht="15" hidden="false" customHeight="true" outlineLevel="0" collapsed="false">
      <c r="A413" s="65"/>
      <c r="B413" s="68"/>
      <c r="C413" s="66"/>
      <c r="D413" s="66"/>
      <c r="E413" s="66"/>
      <c r="F413" s="67"/>
      <c r="G413" s="66"/>
    </row>
    <row r="414" customFormat="false" ht="15" hidden="false" customHeight="true" outlineLevel="0" collapsed="false">
      <c r="A414" s="65"/>
      <c r="B414" s="68"/>
      <c r="C414" s="66"/>
      <c r="D414" s="66"/>
      <c r="E414" s="66"/>
      <c r="F414" s="67"/>
      <c r="G414" s="66"/>
    </row>
    <row r="415" customFormat="false" ht="15" hidden="false" customHeight="true" outlineLevel="0" collapsed="false">
      <c r="A415" s="65"/>
      <c r="B415" s="68"/>
      <c r="C415" s="66"/>
      <c r="D415" s="66"/>
      <c r="E415" s="66"/>
      <c r="F415" s="67"/>
      <c r="G415" s="66"/>
    </row>
    <row r="416" customFormat="false" ht="15" hidden="false" customHeight="true" outlineLevel="0" collapsed="false">
      <c r="A416" s="65"/>
      <c r="B416" s="68"/>
      <c r="C416" s="66"/>
      <c r="D416" s="66"/>
      <c r="E416" s="66"/>
      <c r="F416" s="67"/>
      <c r="G416" s="66"/>
    </row>
    <row r="417" customFormat="false" ht="15" hidden="false" customHeight="true" outlineLevel="0" collapsed="false">
      <c r="A417" s="65"/>
      <c r="B417" s="68"/>
      <c r="C417" s="66"/>
      <c r="D417" s="66"/>
      <c r="E417" s="66"/>
      <c r="F417" s="67"/>
      <c r="G417" s="66"/>
    </row>
    <row r="418" customFormat="false" ht="15" hidden="false" customHeight="true" outlineLevel="0" collapsed="false">
      <c r="A418" s="65"/>
      <c r="B418" s="68"/>
      <c r="C418" s="66"/>
      <c r="D418" s="66"/>
      <c r="E418" s="66"/>
      <c r="F418" s="67"/>
      <c r="G418" s="66"/>
    </row>
    <row r="419" customFormat="false" ht="15" hidden="false" customHeight="true" outlineLevel="0" collapsed="false">
      <c r="A419" s="65"/>
      <c r="B419" s="68"/>
      <c r="C419" s="66"/>
      <c r="D419" s="66"/>
      <c r="E419" s="66"/>
      <c r="F419" s="67"/>
      <c r="G419" s="66"/>
    </row>
    <row r="420" customFormat="false" ht="15" hidden="false" customHeight="true" outlineLevel="0" collapsed="false">
      <c r="A420" s="65"/>
      <c r="B420" s="68"/>
      <c r="C420" s="66"/>
      <c r="D420" s="66"/>
      <c r="E420" s="66"/>
      <c r="F420" s="67"/>
      <c r="G420" s="66"/>
    </row>
    <row r="421" customFormat="false" ht="15" hidden="false" customHeight="true" outlineLevel="0" collapsed="false">
      <c r="A421" s="65"/>
      <c r="B421" s="68"/>
      <c r="C421" s="66"/>
      <c r="D421" s="66"/>
      <c r="E421" s="66"/>
      <c r="F421" s="67"/>
      <c r="G421" s="66"/>
    </row>
    <row r="422" customFormat="false" ht="15" hidden="false" customHeight="true" outlineLevel="0" collapsed="false">
      <c r="A422" s="65"/>
      <c r="B422" s="68"/>
      <c r="C422" s="66"/>
      <c r="D422" s="66"/>
      <c r="E422" s="66"/>
      <c r="F422" s="67"/>
      <c r="G422" s="66"/>
    </row>
    <row r="423" customFormat="false" ht="15" hidden="false" customHeight="true" outlineLevel="0" collapsed="false">
      <c r="A423" s="65"/>
      <c r="B423" s="68"/>
      <c r="C423" s="66"/>
      <c r="D423" s="66"/>
      <c r="E423" s="66"/>
      <c r="F423" s="67"/>
      <c r="G423" s="66"/>
    </row>
    <row r="424" customFormat="false" ht="15" hidden="false" customHeight="true" outlineLevel="0" collapsed="false">
      <c r="A424" s="65"/>
      <c r="B424" s="68"/>
      <c r="C424" s="66"/>
      <c r="D424" s="66"/>
      <c r="E424" s="66"/>
      <c r="F424" s="67"/>
      <c r="G424" s="66"/>
    </row>
    <row r="425" customFormat="false" ht="15" hidden="false" customHeight="true" outlineLevel="0" collapsed="false">
      <c r="A425" s="65"/>
      <c r="B425" s="68"/>
      <c r="C425" s="66"/>
      <c r="D425" s="66"/>
      <c r="E425" s="66"/>
      <c r="F425" s="67"/>
      <c r="G425" s="66"/>
    </row>
    <row r="426" customFormat="false" ht="15" hidden="false" customHeight="true" outlineLevel="0" collapsed="false">
      <c r="A426" s="65"/>
      <c r="B426" s="68"/>
      <c r="C426" s="66"/>
      <c r="D426" s="66"/>
      <c r="E426" s="66"/>
      <c r="F426" s="67"/>
      <c r="G426" s="66"/>
    </row>
    <row r="427" customFormat="false" ht="15" hidden="false" customHeight="true" outlineLevel="0" collapsed="false">
      <c r="A427" s="65"/>
      <c r="B427" s="68"/>
      <c r="C427" s="66"/>
      <c r="D427" s="66"/>
      <c r="E427" s="66"/>
      <c r="F427" s="67"/>
      <c r="G427" s="66"/>
    </row>
    <row r="428" customFormat="false" ht="15" hidden="false" customHeight="true" outlineLevel="0" collapsed="false">
      <c r="A428" s="65"/>
      <c r="B428" s="68"/>
      <c r="C428" s="66"/>
      <c r="D428" s="66"/>
      <c r="E428" s="66"/>
      <c r="F428" s="67"/>
      <c r="G428" s="66"/>
    </row>
    <row r="429" customFormat="false" ht="15" hidden="false" customHeight="true" outlineLevel="0" collapsed="false">
      <c r="A429" s="65"/>
      <c r="B429" s="68"/>
      <c r="C429" s="66"/>
      <c r="D429" s="66"/>
      <c r="E429" s="66"/>
      <c r="F429" s="67"/>
      <c r="G429" s="66"/>
    </row>
    <row r="430" customFormat="false" ht="15" hidden="false" customHeight="true" outlineLevel="0" collapsed="false">
      <c r="A430" s="65"/>
      <c r="B430" s="68"/>
      <c r="C430" s="66"/>
      <c r="D430" s="66"/>
      <c r="E430" s="66"/>
      <c r="F430" s="67"/>
      <c r="G430" s="66"/>
    </row>
    <row r="431" customFormat="false" ht="15" hidden="false" customHeight="true" outlineLevel="0" collapsed="false">
      <c r="A431" s="65"/>
      <c r="B431" s="68"/>
      <c r="C431" s="66"/>
      <c r="D431" s="66"/>
      <c r="E431" s="66"/>
      <c r="F431" s="67"/>
      <c r="G431" s="66"/>
    </row>
    <row r="432" customFormat="false" ht="15" hidden="false" customHeight="true" outlineLevel="0" collapsed="false">
      <c r="A432" s="65"/>
      <c r="B432" s="68"/>
      <c r="C432" s="66"/>
      <c r="D432" s="66"/>
      <c r="E432" s="66"/>
      <c r="F432" s="67"/>
      <c r="G432" s="66"/>
    </row>
    <row r="433" customFormat="false" ht="15" hidden="false" customHeight="true" outlineLevel="0" collapsed="false">
      <c r="A433" s="65"/>
      <c r="B433" s="68"/>
      <c r="C433" s="66"/>
      <c r="D433" s="66"/>
      <c r="E433" s="66"/>
      <c r="F433" s="67"/>
      <c r="G433" s="66"/>
    </row>
    <row r="434" customFormat="false" ht="15" hidden="false" customHeight="true" outlineLevel="0" collapsed="false">
      <c r="A434" s="65"/>
      <c r="B434" s="68"/>
      <c r="C434" s="66"/>
      <c r="D434" s="66"/>
      <c r="E434" s="66"/>
      <c r="F434" s="67"/>
      <c r="G434" s="66"/>
    </row>
    <row r="435" customFormat="false" ht="15" hidden="false" customHeight="true" outlineLevel="0" collapsed="false">
      <c r="A435" s="65"/>
      <c r="B435" s="68"/>
      <c r="C435" s="66"/>
      <c r="D435" s="66"/>
      <c r="E435" s="66"/>
      <c r="F435" s="67"/>
      <c r="G435" s="66"/>
    </row>
    <row r="436" customFormat="false" ht="15" hidden="false" customHeight="true" outlineLevel="0" collapsed="false">
      <c r="A436" s="65"/>
      <c r="B436" s="68"/>
      <c r="C436" s="66"/>
      <c r="D436" s="66"/>
      <c r="E436" s="66"/>
      <c r="F436" s="67"/>
      <c r="G436" s="66"/>
    </row>
    <row r="437" customFormat="false" ht="15" hidden="false" customHeight="true" outlineLevel="0" collapsed="false">
      <c r="A437" s="65"/>
      <c r="B437" s="68"/>
      <c r="C437" s="66"/>
      <c r="D437" s="66"/>
      <c r="E437" s="66"/>
      <c r="F437" s="67"/>
      <c r="G437" s="66"/>
    </row>
    <row r="438" customFormat="false" ht="15" hidden="false" customHeight="true" outlineLevel="0" collapsed="false">
      <c r="A438" s="65"/>
      <c r="B438" s="68"/>
      <c r="C438" s="66"/>
      <c r="D438" s="66"/>
      <c r="E438" s="66"/>
      <c r="F438" s="67"/>
      <c r="G438" s="66"/>
    </row>
    <row r="439" customFormat="false" ht="15" hidden="false" customHeight="true" outlineLevel="0" collapsed="false">
      <c r="A439" s="65"/>
      <c r="B439" s="68"/>
      <c r="C439" s="66"/>
      <c r="D439" s="66"/>
      <c r="E439" s="66"/>
      <c r="F439" s="67"/>
      <c r="G439" s="66"/>
    </row>
    <row r="440" customFormat="false" ht="15" hidden="false" customHeight="true" outlineLevel="0" collapsed="false">
      <c r="A440" s="65"/>
      <c r="B440" s="68"/>
      <c r="C440" s="66"/>
      <c r="D440" s="66"/>
      <c r="E440" s="66"/>
      <c r="F440" s="67"/>
      <c r="G440" s="66"/>
    </row>
    <row r="441" customFormat="false" ht="15" hidden="false" customHeight="true" outlineLevel="0" collapsed="false">
      <c r="A441" s="65"/>
      <c r="B441" s="68"/>
      <c r="C441" s="66"/>
      <c r="D441" s="66"/>
      <c r="E441" s="66"/>
      <c r="F441" s="67"/>
      <c r="G441" s="66"/>
    </row>
    <row r="442" customFormat="false" ht="15" hidden="false" customHeight="true" outlineLevel="0" collapsed="false">
      <c r="A442" s="65"/>
      <c r="B442" s="68"/>
      <c r="C442" s="66"/>
      <c r="D442" s="66"/>
      <c r="E442" s="66"/>
      <c r="F442" s="67"/>
      <c r="G442" s="66"/>
    </row>
    <row r="443" customFormat="false" ht="15" hidden="false" customHeight="true" outlineLevel="0" collapsed="false">
      <c r="A443" s="65"/>
      <c r="B443" s="68"/>
      <c r="C443" s="66"/>
      <c r="D443" s="66"/>
      <c r="E443" s="66"/>
      <c r="F443" s="67"/>
      <c r="G443" s="66"/>
    </row>
    <row r="444" customFormat="false" ht="15" hidden="false" customHeight="true" outlineLevel="0" collapsed="false">
      <c r="A444" s="65"/>
      <c r="B444" s="68"/>
      <c r="C444" s="66"/>
      <c r="D444" s="66"/>
      <c r="E444" s="66"/>
      <c r="F444" s="67"/>
      <c r="G444" s="66"/>
    </row>
    <row r="445" customFormat="false" ht="15" hidden="false" customHeight="true" outlineLevel="0" collapsed="false">
      <c r="A445" s="65"/>
      <c r="B445" s="68"/>
      <c r="C445" s="66"/>
      <c r="D445" s="66"/>
      <c r="E445" s="66"/>
      <c r="F445" s="67"/>
      <c r="G445" s="66"/>
    </row>
    <row r="446" customFormat="false" ht="15" hidden="false" customHeight="true" outlineLevel="0" collapsed="false">
      <c r="A446" s="65"/>
      <c r="B446" s="68"/>
      <c r="C446" s="66"/>
      <c r="D446" s="66"/>
      <c r="E446" s="66"/>
      <c r="F446" s="67"/>
      <c r="G446" s="66"/>
    </row>
    <row r="447" customFormat="false" ht="15" hidden="false" customHeight="true" outlineLevel="0" collapsed="false">
      <c r="A447" s="65"/>
      <c r="B447" s="68"/>
      <c r="C447" s="66"/>
      <c r="D447" s="66"/>
      <c r="E447" s="66"/>
      <c r="F447" s="67"/>
      <c r="G447" s="66"/>
    </row>
    <row r="448" customFormat="false" ht="15" hidden="false" customHeight="true" outlineLevel="0" collapsed="false">
      <c r="A448" s="65"/>
      <c r="B448" s="68"/>
      <c r="C448" s="66"/>
      <c r="D448" s="66"/>
      <c r="E448" s="66"/>
      <c r="F448" s="67"/>
      <c r="G448" s="66"/>
    </row>
    <row r="449" customFormat="false" ht="15" hidden="false" customHeight="true" outlineLevel="0" collapsed="false">
      <c r="A449" s="65"/>
      <c r="B449" s="68"/>
      <c r="C449" s="66"/>
      <c r="D449" s="66"/>
      <c r="E449" s="66"/>
      <c r="F449" s="67"/>
      <c r="G449" s="66"/>
    </row>
    <row r="450" customFormat="false" ht="15" hidden="false" customHeight="true" outlineLevel="0" collapsed="false">
      <c r="A450" s="65"/>
      <c r="B450" s="68"/>
      <c r="C450" s="66"/>
      <c r="D450" s="66"/>
      <c r="E450" s="66"/>
      <c r="F450" s="67"/>
      <c r="G450" s="66"/>
    </row>
    <row r="451" customFormat="false" ht="15" hidden="false" customHeight="true" outlineLevel="0" collapsed="false">
      <c r="A451" s="65"/>
      <c r="B451" s="68"/>
      <c r="C451" s="66"/>
      <c r="D451" s="66"/>
      <c r="E451" s="66"/>
      <c r="F451" s="67"/>
      <c r="G451" s="66"/>
    </row>
    <row r="452" customFormat="false" ht="15" hidden="false" customHeight="true" outlineLevel="0" collapsed="false">
      <c r="A452" s="65"/>
      <c r="B452" s="68"/>
      <c r="C452" s="66"/>
      <c r="D452" s="66"/>
      <c r="E452" s="66"/>
      <c r="F452" s="67"/>
      <c r="G452" s="66"/>
    </row>
    <row r="453" customFormat="false" ht="15" hidden="false" customHeight="true" outlineLevel="0" collapsed="false">
      <c r="A453" s="65"/>
      <c r="B453" s="68"/>
      <c r="C453" s="66"/>
      <c r="D453" s="66"/>
      <c r="E453" s="66"/>
      <c r="F453" s="67"/>
      <c r="G453" s="66"/>
    </row>
    <row r="454" customFormat="false" ht="15" hidden="false" customHeight="true" outlineLevel="0" collapsed="false">
      <c r="A454" s="65"/>
      <c r="B454" s="68"/>
      <c r="C454" s="66"/>
      <c r="D454" s="66"/>
      <c r="E454" s="66"/>
      <c r="F454" s="67"/>
      <c r="G454" s="66"/>
    </row>
    <row r="455" customFormat="false" ht="15" hidden="false" customHeight="true" outlineLevel="0" collapsed="false">
      <c r="A455" s="65"/>
      <c r="B455" s="68"/>
      <c r="C455" s="66"/>
      <c r="D455" s="66"/>
      <c r="E455" s="66"/>
      <c r="F455" s="67"/>
      <c r="G455" s="66"/>
    </row>
    <row r="456" customFormat="false" ht="15" hidden="false" customHeight="true" outlineLevel="0" collapsed="false">
      <c r="A456" s="65"/>
      <c r="B456" s="68"/>
      <c r="C456" s="66"/>
      <c r="D456" s="66"/>
      <c r="E456" s="66"/>
      <c r="F456" s="67"/>
      <c r="G456" s="66"/>
    </row>
    <row r="457" customFormat="false" ht="15" hidden="false" customHeight="true" outlineLevel="0" collapsed="false">
      <c r="A457" s="65"/>
      <c r="B457" s="68"/>
      <c r="C457" s="66"/>
      <c r="D457" s="66"/>
      <c r="E457" s="66"/>
      <c r="F457" s="67"/>
      <c r="G457" s="66"/>
    </row>
    <row r="458" customFormat="false" ht="15" hidden="false" customHeight="true" outlineLevel="0" collapsed="false">
      <c r="A458" s="65"/>
      <c r="B458" s="68"/>
      <c r="C458" s="66"/>
      <c r="D458" s="66"/>
      <c r="E458" s="66"/>
      <c r="F458" s="67"/>
      <c r="G458" s="66"/>
    </row>
    <row r="459" customFormat="false" ht="15" hidden="false" customHeight="true" outlineLevel="0" collapsed="false">
      <c r="A459" s="65"/>
      <c r="B459" s="68"/>
      <c r="C459" s="66"/>
      <c r="D459" s="66"/>
      <c r="E459" s="66"/>
      <c r="F459" s="67"/>
      <c r="G459" s="66"/>
    </row>
    <row r="460" customFormat="false" ht="15" hidden="false" customHeight="true" outlineLevel="0" collapsed="false">
      <c r="A460" s="65"/>
      <c r="B460" s="68"/>
      <c r="C460" s="66"/>
      <c r="D460" s="66"/>
      <c r="E460" s="66"/>
      <c r="F460" s="67"/>
      <c r="G460" s="66"/>
    </row>
    <row r="461" customFormat="false" ht="15" hidden="false" customHeight="true" outlineLevel="0" collapsed="false">
      <c r="A461" s="65"/>
      <c r="B461" s="68"/>
      <c r="C461" s="66"/>
      <c r="D461" s="66"/>
      <c r="E461" s="66"/>
      <c r="F461" s="67"/>
      <c r="G461" s="66"/>
    </row>
    <row r="462" customFormat="false" ht="15" hidden="false" customHeight="true" outlineLevel="0" collapsed="false">
      <c r="A462" s="65"/>
      <c r="B462" s="68"/>
      <c r="C462" s="66"/>
      <c r="D462" s="66"/>
      <c r="E462" s="66"/>
      <c r="F462" s="67"/>
      <c r="G462" s="66"/>
    </row>
    <row r="463" customFormat="false" ht="15" hidden="false" customHeight="true" outlineLevel="0" collapsed="false">
      <c r="A463" s="65"/>
      <c r="B463" s="68"/>
      <c r="C463" s="66"/>
      <c r="D463" s="66"/>
      <c r="E463" s="66"/>
      <c r="F463" s="67"/>
      <c r="G463" s="66"/>
    </row>
    <row r="464" customFormat="false" ht="15" hidden="false" customHeight="true" outlineLevel="0" collapsed="false">
      <c r="A464" s="65"/>
      <c r="B464" s="68"/>
      <c r="C464" s="66"/>
      <c r="D464" s="66"/>
      <c r="E464" s="66"/>
      <c r="F464" s="67"/>
      <c r="G464" s="66"/>
    </row>
    <row r="465" customFormat="false" ht="15" hidden="false" customHeight="true" outlineLevel="0" collapsed="false">
      <c r="A465" s="65"/>
      <c r="B465" s="68"/>
      <c r="C465" s="66"/>
      <c r="D465" s="66"/>
      <c r="E465" s="66"/>
      <c r="F465" s="67"/>
      <c r="G465" s="66"/>
    </row>
    <row r="466" customFormat="false" ht="15" hidden="false" customHeight="true" outlineLevel="0" collapsed="false">
      <c r="A466" s="65"/>
      <c r="B466" s="68"/>
      <c r="C466" s="66"/>
      <c r="D466" s="66"/>
      <c r="E466" s="66"/>
      <c r="F466" s="67"/>
      <c r="G466" s="66"/>
    </row>
    <row r="467" customFormat="false" ht="15" hidden="false" customHeight="true" outlineLevel="0" collapsed="false">
      <c r="A467" s="65"/>
      <c r="B467" s="68"/>
      <c r="C467" s="66"/>
      <c r="D467" s="66"/>
      <c r="E467" s="66"/>
      <c r="F467" s="67"/>
      <c r="G467" s="66"/>
    </row>
    <row r="468" customFormat="false" ht="15" hidden="false" customHeight="true" outlineLevel="0" collapsed="false">
      <c r="A468" s="65"/>
      <c r="B468" s="68"/>
      <c r="C468" s="66"/>
      <c r="D468" s="66"/>
      <c r="E468" s="66"/>
      <c r="F468" s="67"/>
      <c r="G468" s="66"/>
    </row>
    <row r="469" customFormat="false" ht="15" hidden="false" customHeight="true" outlineLevel="0" collapsed="false">
      <c r="A469" s="65"/>
      <c r="B469" s="68"/>
      <c r="C469" s="66"/>
      <c r="D469" s="66"/>
      <c r="E469" s="66"/>
      <c r="F469" s="67"/>
      <c r="G469" s="66"/>
    </row>
    <row r="470" customFormat="false" ht="15" hidden="false" customHeight="true" outlineLevel="0" collapsed="false">
      <c r="A470" s="65"/>
      <c r="B470" s="68"/>
      <c r="C470" s="66"/>
      <c r="D470" s="66"/>
      <c r="E470" s="66"/>
      <c r="F470" s="67"/>
      <c r="G470" s="66"/>
    </row>
    <row r="471" customFormat="false" ht="15" hidden="false" customHeight="true" outlineLevel="0" collapsed="false">
      <c r="A471" s="65"/>
      <c r="B471" s="68"/>
      <c r="C471" s="66"/>
      <c r="D471" s="66"/>
      <c r="E471" s="66"/>
      <c r="F471" s="67"/>
      <c r="G471" s="66"/>
    </row>
    <row r="472" customFormat="false" ht="15" hidden="false" customHeight="true" outlineLevel="0" collapsed="false">
      <c r="A472" s="65"/>
      <c r="B472" s="68"/>
      <c r="C472" s="66"/>
      <c r="D472" s="66"/>
      <c r="E472" s="66"/>
      <c r="F472" s="67"/>
      <c r="G472" s="66"/>
    </row>
    <row r="473" customFormat="false" ht="15" hidden="false" customHeight="true" outlineLevel="0" collapsed="false">
      <c r="A473" s="65"/>
      <c r="B473" s="68"/>
      <c r="C473" s="66"/>
      <c r="D473" s="66"/>
      <c r="E473" s="66"/>
      <c r="F473" s="67"/>
      <c r="G473" s="66"/>
    </row>
    <row r="474" customFormat="false" ht="15" hidden="false" customHeight="true" outlineLevel="0" collapsed="false">
      <c r="A474" s="65"/>
      <c r="B474" s="68"/>
      <c r="C474" s="66"/>
      <c r="D474" s="66"/>
      <c r="E474" s="66"/>
      <c r="F474" s="67"/>
      <c r="G474" s="66"/>
    </row>
    <row r="475" customFormat="false" ht="15" hidden="false" customHeight="true" outlineLevel="0" collapsed="false">
      <c r="A475" s="65"/>
      <c r="B475" s="68"/>
      <c r="C475" s="66"/>
      <c r="D475" s="66"/>
      <c r="E475" s="66"/>
      <c r="F475" s="67"/>
      <c r="G475" s="66"/>
    </row>
    <row r="476" customFormat="false" ht="15" hidden="false" customHeight="true" outlineLevel="0" collapsed="false">
      <c r="A476" s="65"/>
      <c r="B476" s="68"/>
      <c r="C476" s="66"/>
      <c r="D476" s="66"/>
      <c r="E476" s="66"/>
      <c r="F476" s="67"/>
      <c r="G476" s="66"/>
    </row>
    <row r="477" customFormat="false" ht="15" hidden="false" customHeight="true" outlineLevel="0" collapsed="false">
      <c r="A477" s="65"/>
      <c r="B477" s="68"/>
      <c r="C477" s="66"/>
      <c r="D477" s="66"/>
      <c r="E477" s="66"/>
      <c r="F477" s="67"/>
      <c r="G477" s="66"/>
    </row>
    <row r="478" customFormat="false" ht="15" hidden="false" customHeight="true" outlineLevel="0" collapsed="false">
      <c r="A478" s="65"/>
      <c r="B478" s="68"/>
      <c r="C478" s="66"/>
      <c r="D478" s="66"/>
      <c r="E478" s="66"/>
      <c r="F478" s="67"/>
      <c r="G478" s="66"/>
    </row>
    <row r="479" customFormat="false" ht="15" hidden="false" customHeight="true" outlineLevel="0" collapsed="false">
      <c r="A479" s="65"/>
      <c r="B479" s="68"/>
      <c r="C479" s="66"/>
      <c r="D479" s="66"/>
      <c r="E479" s="66"/>
      <c r="F479" s="67"/>
      <c r="G479" s="66"/>
    </row>
    <row r="480" customFormat="false" ht="15" hidden="false" customHeight="true" outlineLevel="0" collapsed="false">
      <c r="A480" s="65"/>
      <c r="B480" s="68"/>
      <c r="C480" s="66"/>
      <c r="D480" s="66"/>
      <c r="E480" s="66"/>
      <c r="F480" s="67"/>
      <c r="G480" s="66"/>
    </row>
    <row r="481" customFormat="false" ht="15" hidden="false" customHeight="true" outlineLevel="0" collapsed="false">
      <c r="A481" s="65"/>
      <c r="B481" s="68"/>
      <c r="C481" s="66"/>
      <c r="D481" s="66"/>
      <c r="E481" s="66"/>
      <c r="F481" s="67"/>
      <c r="G481" s="66"/>
    </row>
    <row r="482" customFormat="false" ht="15" hidden="false" customHeight="true" outlineLevel="0" collapsed="false">
      <c r="A482" s="65"/>
      <c r="B482" s="68"/>
      <c r="C482" s="66"/>
      <c r="D482" s="66"/>
      <c r="E482" s="66"/>
      <c r="F482" s="67"/>
      <c r="G482" s="66"/>
    </row>
    <row r="483" customFormat="false" ht="15" hidden="false" customHeight="true" outlineLevel="0" collapsed="false">
      <c r="A483" s="65"/>
      <c r="B483" s="68"/>
      <c r="C483" s="66"/>
      <c r="D483" s="66"/>
      <c r="E483" s="66"/>
      <c r="F483" s="67"/>
      <c r="G483" s="66"/>
    </row>
    <row r="484" customFormat="false" ht="15" hidden="false" customHeight="true" outlineLevel="0" collapsed="false">
      <c r="A484" s="65"/>
      <c r="B484" s="68"/>
      <c r="C484" s="66"/>
      <c r="D484" s="66"/>
      <c r="E484" s="66"/>
      <c r="F484" s="67"/>
      <c r="G484" s="66"/>
    </row>
    <row r="485" customFormat="false" ht="15" hidden="false" customHeight="true" outlineLevel="0" collapsed="false">
      <c r="A485" s="65"/>
      <c r="B485" s="68"/>
      <c r="C485" s="66"/>
      <c r="D485" s="66"/>
      <c r="E485" s="66"/>
      <c r="F485" s="67"/>
      <c r="G485" s="66"/>
    </row>
    <row r="486" customFormat="false" ht="15" hidden="false" customHeight="true" outlineLevel="0" collapsed="false">
      <c r="A486" s="65"/>
      <c r="B486" s="68"/>
      <c r="C486" s="66"/>
      <c r="D486" s="66"/>
      <c r="E486" s="66"/>
      <c r="F486" s="67"/>
      <c r="G486" s="66"/>
    </row>
    <row r="487" customFormat="false" ht="15" hidden="false" customHeight="true" outlineLevel="0" collapsed="false">
      <c r="A487" s="65"/>
      <c r="B487" s="68"/>
      <c r="C487" s="66"/>
      <c r="D487" s="66"/>
      <c r="E487" s="66"/>
      <c r="F487" s="67"/>
      <c r="G487" s="66"/>
    </row>
    <row r="488" customFormat="false" ht="15" hidden="false" customHeight="true" outlineLevel="0" collapsed="false">
      <c r="A488" s="65"/>
      <c r="B488" s="68"/>
      <c r="C488" s="66"/>
      <c r="D488" s="66"/>
      <c r="E488" s="66"/>
      <c r="F488" s="67"/>
      <c r="G488" s="66"/>
    </row>
    <row r="489" customFormat="false" ht="15" hidden="false" customHeight="true" outlineLevel="0" collapsed="false">
      <c r="A489" s="65"/>
      <c r="B489" s="68"/>
      <c r="C489" s="66"/>
      <c r="D489" s="66"/>
      <c r="E489" s="66"/>
      <c r="F489" s="67"/>
      <c r="G489" s="66"/>
    </row>
    <row r="490" customFormat="false" ht="15" hidden="false" customHeight="true" outlineLevel="0" collapsed="false">
      <c r="A490" s="65"/>
      <c r="B490" s="68"/>
      <c r="C490" s="66"/>
      <c r="D490" s="66"/>
      <c r="E490" s="66"/>
      <c r="F490" s="67"/>
      <c r="G490" s="66"/>
    </row>
    <row r="491" customFormat="false" ht="15" hidden="false" customHeight="true" outlineLevel="0" collapsed="false">
      <c r="A491" s="65"/>
      <c r="B491" s="68"/>
      <c r="C491" s="66"/>
      <c r="D491" s="66"/>
      <c r="E491" s="66"/>
      <c r="F491" s="67"/>
      <c r="G491" s="66"/>
    </row>
    <row r="492" customFormat="false" ht="15" hidden="false" customHeight="true" outlineLevel="0" collapsed="false">
      <c r="A492" s="65"/>
      <c r="B492" s="68"/>
      <c r="C492" s="66"/>
      <c r="D492" s="66"/>
      <c r="E492" s="66"/>
      <c r="F492" s="67"/>
      <c r="G492" s="66"/>
    </row>
    <row r="493" customFormat="false" ht="15" hidden="false" customHeight="true" outlineLevel="0" collapsed="false">
      <c r="A493" s="65"/>
      <c r="B493" s="68"/>
      <c r="C493" s="66"/>
      <c r="D493" s="66"/>
      <c r="E493" s="66"/>
      <c r="F493" s="67"/>
      <c r="G493" s="66"/>
    </row>
    <row r="494" customFormat="false" ht="15" hidden="false" customHeight="true" outlineLevel="0" collapsed="false">
      <c r="A494" s="65"/>
      <c r="B494" s="68"/>
      <c r="C494" s="66"/>
      <c r="D494" s="66"/>
      <c r="E494" s="66"/>
      <c r="F494" s="67"/>
      <c r="G494" s="66"/>
    </row>
    <row r="495" customFormat="false" ht="15" hidden="false" customHeight="true" outlineLevel="0" collapsed="false">
      <c r="A495" s="65"/>
      <c r="B495" s="68"/>
      <c r="C495" s="66"/>
      <c r="D495" s="66"/>
      <c r="E495" s="66"/>
      <c r="F495" s="67"/>
      <c r="G495" s="66"/>
    </row>
    <row r="496" customFormat="false" ht="15" hidden="false" customHeight="true" outlineLevel="0" collapsed="false">
      <c r="A496" s="65"/>
      <c r="B496" s="68"/>
      <c r="C496" s="66"/>
      <c r="D496" s="66"/>
      <c r="E496" s="66"/>
      <c r="F496" s="67"/>
      <c r="G496" s="66"/>
    </row>
    <row r="497" customFormat="false" ht="15" hidden="false" customHeight="true" outlineLevel="0" collapsed="false">
      <c r="A497" s="65"/>
      <c r="B497" s="68"/>
      <c r="C497" s="66"/>
      <c r="D497" s="66"/>
      <c r="E497" s="66"/>
      <c r="F497" s="67"/>
      <c r="G497" s="66"/>
    </row>
    <row r="498" customFormat="false" ht="15" hidden="false" customHeight="true" outlineLevel="0" collapsed="false">
      <c r="A498" s="65"/>
      <c r="B498" s="68"/>
      <c r="C498" s="66"/>
      <c r="D498" s="66"/>
      <c r="E498" s="66"/>
      <c r="F498" s="67"/>
      <c r="G498" s="66"/>
    </row>
    <row r="499" customFormat="false" ht="15" hidden="false" customHeight="true" outlineLevel="0" collapsed="false">
      <c r="A499" s="65"/>
      <c r="B499" s="68"/>
      <c r="C499" s="66"/>
      <c r="D499" s="66"/>
      <c r="E499" s="66"/>
      <c r="F499" s="67"/>
      <c r="G499" s="66"/>
    </row>
    <row r="500" customFormat="false" ht="15" hidden="false" customHeight="true" outlineLevel="0" collapsed="false">
      <c r="A500" s="65"/>
      <c r="B500" s="68"/>
      <c r="C500" s="66"/>
      <c r="D500" s="66"/>
      <c r="E500" s="66"/>
      <c r="F500" s="67"/>
      <c r="G500" s="66"/>
    </row>
    <row r="501" customFormat="false" ht="15" hidden="false" customHeight="true" outlineLevel="0" collapsed="false">
      <c r="A501" s="65"/>
      <c r="B501" s="68"/>
      <c r="C501" s="66"/>
      <c r="D501" s="66"/>
      <c r="E501" s="66"/>
      <c r="F501" s="67"/>
      <c r="G501" s="66"/>
    </row>
    <row r="502" customFormat="false" ht="15" hidden="false" customHeight="true" outlineLevel="0" collapsed="false">
      <c r="A502" s="65"/>
      <c r="B502" s="68"/>
      <c r="C502" s="66"/>
      <c r="D502" s="66"/>
      <c r="E502" s="66"/>
      <c r="F502" s="67"/>
      <c r="G502" s="66"/>
    </row>
    <row r="503" customFormat="false" ht="15" hidden="false" customHeight="true" outlineLevel="0" collapsed="false">
      <c r="A503" s="65"/>
      <c r="B503" s="68"/>
      <c r="C503" s="66"/>
      <c r="D503" s="66"/>
      <c r="E503" s="66"/>
      <c r="F503" s="67"/>
      <c r="G503" s="66"/>
    </row>
    <row r="504" customFormat="false" ht="15" hidden="false" customHeight="true" outlineLevel="0" collapsed="false">
      <c r="A504" s="69"/>
      <c r="B504" s="70"/>
      <c r="C504" s="70"/>
      <c r="D504" s="70"/>
      <c r="E504" s="70"/>
      <c r="F504" s="71"/>
      <c r="G504" s="70"/>
    </row>
  </sheetData>
  <sheetProtection sheet="true" password="f1c2" objects="true" scenarios="true"/>
  <autoFilter ref="A4:G304"/>
  <mergeCells count="1">
    <mergeCell ref="A2:G2"/>
  </mergeCells>
  <conditionalFormatting sqref="B4:B503">
    <cfRule type="cellIs" priority="2" operator="equal" aboveAverage="0" equalAverage="0" bottom="0" percent="0" rank="0" text="" dxfId="5">
      <formula>"Despesa"</formula>
    </cfRule>
  </conditionalFormatting>
  <dataValidations count="7">
    <dataValidation allowBlank="true" errorStyle="stop" operator="between" showDropDown="false" showErrorMessage="false" showInputMessage="false" sqref="B4" type="list">
      <formula1>"Receita,Despesa"</formula1>
      <formula2>0</formula2>
    </dataValidation>
    <dataValidation allowBlank="true" errorStyle="stop" operator="between" showDropDown="false" showErrorMessage="false" showInputMessage="false" sqref="C4" type="list">
      <formula1>Configurações!$B$4:$B$13</formula1>
      <formula2>0</formula2>
    </dataValidation>
    <dataValidation allowBlank="true" errorStyle="stop" operator="between" showDropDown="false" showErrorMessage="false" showInputMessage="false" sqref="E4" type="list">
      <formula1>Configurações!$C$4:$C$7</formula1>
      <formula2>0</formula2>
    </dataValidation>
    <dataValidation allowBlank="true" error="Escolha Receita ou Despesa." errorStyle="stop" errorTitle="Tipo inválido" operator="between" showDropDown="false" showErrorMessage="false" showInputMessage="false" sqref="B305:B504" type="list">
      <formula1>"Receita,Despesa"</formula1>
      <formula2>0</formula2>
    </dataValidation>
    <dataValidation allowBlank="true" errorStyle="stop" operator="between" showDropDown="false" showErrorMessage="false" showInputMessage="false" sqref="E5:E504" type="list">
      <formula1>Configurações!$C$5:$C$14</formula1>
      <formula2>0</formula2>
    </dataValidation>
    <dataValidation allowBlank="true" errorStyle="stop" operator="between" showDropDown="false" showErrorMessage="false" showInputMessage="false" sqref="B5:B304" type="list">
      <formula1>"Receita,Despesa"</formula1>
      <formula2>0</formula2>
    </dataValidation>
    <dataValidation allowBlank="true" errorStyle="stop" operator="between" showDropDown="false" showErrorMessage="false" showInputMessage="false" sqref="C5:C504" type="list">
      <formula1>IF($B5="Receita",INDIRECT("'Configurações'!$A$5:$A$7"),INDIRECT("'Configurações'!$B$5:$B$14"))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ns0:worksheet xmlns:ns0="http://schemas.openxmlformats.org/spreadsheetml/2006/main" xmlns:ns1="http://schemas.openxmlformats.org/officeDocument/2006/relationships">
  <ns0:sheetPr filterMode="false">
    <ns0:pageSetUpPr fitToPage="true"/>
  </ns0:sheetPr>
  <ns0:dimension ref="A1:I204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4" topLeftCell="A5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true" zeroHeight="false" outlineLevelRow="0" outlineLevelCol="0"/>
  <ns0:cols>
    <ns0:col collapsed="false" customWidth="true" hidden="false" outlineLevel="0" max="1" min="1" style="24" width="15"/>
    <ns0:col collapsed="false" customWidth="true" hidden="false" outlineLevel="0" max="2" min="2" style="24" width="20"/>
    <ns0:col collapsed="false" customWidth="true" hidden="false" outlineLevel="0" max="3" min="3" style="24" width="28"/>
    <ns0:col collapsed="false" customWidth="true" hidden="false" outlineLevel="0" max="4" min="4" style="24" width="20"/>
    <ns0:col collapsed="false" customWidth="true" hidden="false" outlineLevel="0" max="5" min="5" style="24" width="16"/>
    <ns0:col collapsed="false" customWidth="true" hidden="false" outlineLevel="0" max="6" min="6" style="24" width="12"/>
    <ns0:col collapsed="false" customWidth="true" hidden="false" outlineLevel="0" max="7" min="7" style="24" width="15"/>
    <ns0:col collapsed="false" customWidth="true" hidden="false" outlineLevel="0" max="8" min="8" style="24" width="17"/>
    <ns0:col collapsed="false" customWidth="true" hidden="false" outlineLevel="0" max="9" min="9" style="24" width="25"/>
  </ns0:cols>
  <ns0:sheetData>
    <ns0:row r="1" customFormat="false" ht="37.5" hidden="false" customHeight="true" outlineLevel="0" collapsed="false">
      <ns0:c r="A1" s="51" t="s">
        <ns0:v>99</ns0:v>
      </ns0:c>
      <ns0:c r="B1" s="51"/>
      <ns0:c r="C1" s="51"/>
      <ns0:c r="D1" s="51"/>
      <ns0:c r="E1" s="51"/>
      <ns0:c r="F1" s="51"/>
      <ns0:c r="G1" s="51"/>
      <ns0:c r="H1" s="51"/>
    </ns0:row>
    <ns0:row r="2" customFormat="false" ht="15" hidden="false" customHeight="true" outlineLevel="0" collapsed="false">
      <ns0:c r="A2" s="52" t="s">
        <ns0:v>51</ns0:v>
      </ns0:c>
      <ns0:c r="B2" s="52"/>
      <ns0:c r="C2" s="52"/>
      <ns0:c r="D2" s="52"/>
      <ns0:c r="E2" s="52"/>
      <ns0:c r="F2" s="52"/>
      <ns0:c r="G2" s="52"/>
      <ns0:c r="H2" s="52"/>
    </ns0:row>
    <ns0:row r="3" customFormat="false" ht="15" hidden="false" customHeight="true" outlineLevel="0" collapsed="false">
      <ns0:c r="A3" s="72"/>
      <ns0:c r="B3" s="72"/>
      <ns0:c r="C3" s="72"/>
      <ns0:c r="D3" s="72"/>
      <ns0:c r="E3" s="72"/>
      <ns0:c r="F3" s="72"/>
      <ns0:c r="G3" s="72"/>
      <ns0:c r="H3" s="72"/>
      <ns0:c r="I3" s="72"/>
    </ns0:row>
    <ns0:row r="4" customFormat="false" ht="15" hidden="false" customHeight="true" outlineLevel="0" collapsed="false">
      <ns0:c r="A4" s="73" t="s">
        <ns0:v>100</ns0:v>
      </ns0:c>
      <ns0:c r="B4" s="74" t="s">
        <ns0:v>101</ns0:v>
      </ns0:c>
      <ns0:c r="C4" s="74" t="s">
        <ns0:v>86</ns0:v>
      </ns0:c>
      <ns0:c r="D4" s="74" t="s">
        <ns0:v>85</ns0:v>
      </ns0:c>
      <ns0:c r="E4" s="75" t="s">
        <ns0:v>102</ns0:v>
      </ns0:c>
      <ns0:c r="F4" s="74" t="s">
        <ns0:v>103</ns0:v>
      </ns0:c>
      <ns0:c r="G4" s="73" t="s">
        <ns0:v>104</ns0:v>
      </ns0:c>
      <ns0:c r="H4" s="76" t="s">
        <ns0:v>105</ns0:v>
      </ns0:c>
      <ns0:c r="I4" s="77" t="s">
        <ns0:v>89</ns0:v>
      </ns0:c>
    </ns0:row>
    <ns0:row r="5" customFormat="false" ht="15" hidden="false" customHeight="true" outlineLevel="0" collapsed="false">
      <ns0:c r="A5" s="65"/>
      <ns0:c r="B5" s="68"/>
      <ns0:c r="C5" s="66"/>
      <ns0:c r="D5" s="68"/>
      <ns0:c r="E5" s="67"/>
      <ns0:c r="F5" s="66"/>
      <ns0:c r="G5" s="65"/>
      <ns0:c r="H5" s="78" t="n">
        <ns0:f aca="false">IFERROR(E5/F5,0)</ns0:f>
        <ns0:v>0</ns0:v>
      </ns0:c>
      <ns0:c r="I5" s="70"/>
    </ns0:row>
    <ns0:row r="6" customFormat="false" ht="15" hidden="false" customHeight="true" outlineLevel="0" collapsed="false">
      <ns0:c r="A6" s="65"/>
      <ns0:c r="B6" s="68"/>
      <ns0:c r="C6" s="66"/>
      <ns0:c r="D6" s="68"/>
      <ns0:c r="E6" s="67"/>
      <ns0:c r="F6" s="66"/>
      <ns0:c r="G6" s="65"/>
      <ns0:c r="H6" s="78" t="n">
        <ns0:f aca="false">IFERROR(E6/F6,0)</ns0:f>
        <ns0:v>0</ns0:v>
      </ns0:c>
      <ns0:c r="I6" s="70"/>
    </ns0:row>
    <ns0:row r="7" customFormat="false" ht="15" hidden="false" customHeight="true" outlineLevel="0" collapsed="false">
      <ns0:c r="A7" s="65"/>
      <ns0:c r="B7" s="68"/>
      <ns0:c r="C7" s="66"/>
      <ns0:c r="D7" s="68"/>
      <ns0:c r="E7" s="67"/>
      <ns0:c r="F7" s="66"/>
      <ns0:c r="G7" s="65"/>
      <ns0:c r="H7" s="78" t="n">
        <ns0:f aca="false">IFERROR(E7/F7,0)</ns0:f>
        <ns0:v>0</ns0:v>
      </ns0:c>
      <ns0:c r="I7" s="70"/>
    </ns0:row>
    <ns0:row r="8" customFormat="false" ht="15" hidden="false" customHeight="true" outlineLevel="0" collapsed="false">
      <ns0:c r="A8" s="65"/>
      <ns0:c r="B8" s="68"/>
      <ns0:c r="C8" s="66"/>
      <ns0:c r="D8" s="68"/>
      <ns0:c r="E8" s="67"/>
      <ns0:c r="F8" s="66"/>
      <ns0:c r="G8" s="65"/>
      <ns0:c r="H8" s="78" t="n">
        <ns0:f aca="false">IFERROR(E8/F8,0)</ns0:f>
        <ns0:v>0</ns0:v>
      </ns0:c>
      <ns0:c r="I8" s="70"/>
    </ns0:row>
    <ns0:row r="9" customFormat="false" ht="15" hidden="false" customHeight="true" outlineLevel="0" collapsed="false">
      <ns0:c r="A9" s="65"/>
      <ns0:c r="B9" s="68"/>
      <ns0:c r="C9" s="66"/>
      <ns0:c r="D9" s="68"/>
      <ns0:c r="E9" s="67"/>
      <ns0:c r="F9" s="66"/>
      <ns0:c r="G9" s="65"/>
      <ns0:c r="H9" s="78" t="n">
        <ns0:f aca="false">IFERROR(E9/F9,0)</ns0:f>
        <ns0:v>0</ns0:v>
      </ns0:c>
      <ns0:c r="I9" s="70"/>
    </ns0:row>
    <ns0:row r="10" customFormat="false" ht="15" hidden="false" customHeight="true" outlineLevel="0" collapsed="false">
      <ns0:c r="A10" s="65"/>
      <ns0:c r="B10" s="68"/>
      <ns0:c r="C10" s="66"/>
      <ns0:c r="D10" s="68"/>
      <ns0:c r="E10" s="67"/>
      <ns0:c r="F10" s="66"/>
      <ns0:c r="G10" s="65"/>
      <ns0:c r="H10" s="78" t="n">
        <ns0:f aca="false">IFERROR(E10/F10,0)</ns0:f>
        <ns0:v>0</ns0:v>
      </ns0:c>
      <ns0:c r="I10" s="70"/>
    </ns0:row>
    <ns0:row r="11" customFormat="false" ht="15" hidden="false" customHeight="true" outlineLevel="0" collapsed="false">
      <ns0:c r="A11" s="65"/>
      <ns0:c r="B11" s="68"/>
      <ns0:c r="C11" s="66"/>
      <ns0:c r="D11" s="68"/>
      <ns0:c r="E11" s="67"/>
      <ns0:c r="F11" s="66"/>
      <ns0:c r="G11" s="65"/>
      <ns0:c r="H11" s="78" t="n">
        <ns0:f aca="false">IFERROR(E11/F11,0)</ns0:f>
        <ns0:v>0</ns0:v>
      </ns0:c>
      <ns0:c r="I11" s="70"/>
    </ns0:row>
    <ns0:row r="12" customFormat="false" ht="15" hidden="false" customHeight="true" outlineLevel="0" collapsed="false">
      <ns0:c r="A12" s="65"/>
      <ns0:c r="B12" s="68"/>
      <ns0:c r="C12" s="66"/>
      <ns0:c r="D12" s="68"/>
      <ns0:c r="E12" s="67"/>
      <ns0:c r="F12" s="66"/>
      <ns0:c r="G12" s="65"/>
      <ns0:c r="H12" s="78" t="n">
        <ns0:f aca="false">IFERROR(E12/F12,0)</ns0:f>
        <ns0:v>0</ns0:v>
      </ns0:c>
      <ns0:c r="I12" s="70"/>
    </ns0:row>
    <ns0:row r="13" customFormat="false" ht="15" hidden="false" customHeight="true" outlineLevel="0" collapsed="false">
      <ns0:c r="A13" s="65"/>
      <ns0:c r="B13" s="68"/>
      <ns0:c r="C13" s="66"/>
      <ns0:c r="D13" s="68"/>
      <ns0:c r="E13" s="67"/>
      <ns0:c r="F13" s="66"/>
      <ns0:c r="G13" s="65"/>
      <ns0:c r="H13" s="78" t="n">
        <ns0:f aca="false">IFERROR(E13/F13,0)</ns0:f>
        <ns0:v>0</ns0:v>
      </ns0:c>
      <ns0:c r="I13" s="70"/>
    </ns0:row>
    <ns0:row r="14" customFormat="false" ht="15" hidden="false" customHeight="true" outlineLevel="0" collapsed="false">
      <ns0:c r="A14" s="65"/>
      <ns0:c r="B14" s="68"/>
      <ns0:c r="C14" s="66"/>
      <ns0:c r="D14" s="68"/>
      <ns0:c r="E14" s="67"/>
      <ns0:c r="F14" s="66"/>
      <ns0:c r="G14" s="65"/>
      <ns0:c r="H14" s="78" t="n">
        <ns0:f aca="false">IFERROR(E14/F14,0)</ns0:f>
        <ns0:v>0</ns0:v>
      </ns0:c>
      <ns0:c r="I14" s="70"/>
    </ns0:row>
    <ns0:row r="15" customFormat="false" ht="15" hidden="false" customHeight="true" outlineLevel="0" collapsed="false">
      <ns0:c r="A15" s="65"/>
      <ns0:c r="B15" s="68"/>
      <ns0:c r="C15" s="66"/>
      <ns0:c r="D15" s="68"/>
      <ns0:c r="E15" s="67"/>
      <ns0:c r="F15" s="66"/>
      <ns0:c r="G15" s="65"/>
      <ns0:c r="H15" s="78" t="n">
        <ns0:f aca="false">IFERROR(E15/F15,0)</ns0:f>
        <ns0:v>0</ns0:v>
      </ns0:c>
      <ns0:c r="I15" s="70"/>
    </ns0:row>
    <ns0:row r="16" customFormat="false" ht="15" hidden="false" customHeight="true" outlineLevel="0" collapsed="false">
      <ns0:c r="A16" s="65"/>
      <ns0:c r="B16" s="68"/>
      <ns0:c r="C16" s="66"/>
      <ns0:c r="D16" s="68"/>
      <ns0:c r="E16" s="67"/>
      <ns0:c r="F16" s="66"/>
      <ns0:c r="G16" s="65"/>
      <ns0:c r="H16" s="78" t="n">
        <ns0:f aca="false">IFERROR(E16/F16,0)</ns0:f>
        <ns0:v>0</ns0:v>
      </ns0:c>
      <ns0:c r="I16" s="70"/>
    </ns0:row>
    <ns0:row r="17" customFormat="false" ht="15" hidden="false" customHeight="true" outlineLevel="0" collapsed="false">
      <ns0:c r="A17" s="65"/>
      <ns0:c r="B17" s="68"/>
      <ns0:c r="C17" s="66"/>
      <ns0:c r="D17" s="68"/>
      <ns0:c r="E17" s="67"/>
      <ns0:c r="F17" s="66"/>
      <ns0:c r="G17" s="65"/>
      <ns0:c r="H17" s="78" t="n">
        <ns0:f aca="false">IFERROR(E17/F17,0)</ns0:f>
        <ns0:v>0</ns0:v>
      </ns0:c>
      <ns0:c r="I17" s="70"/>
    </ns0:row>
    <ns0:row r="18" customFormat="false" ht="15" hidden="false" customHeight="true" outlineLevel="0" collapsed="false">
      <ns0:c r="A18" s="65"/>
      <ns0:c r="B18" s="68"/>
      <ns0:c r="C18" s="66"/>
      <ns0:c r="D18" s="68"/>
      <ns0:c r="E18" s="67"/>
      <ns0:c r="F18" s="66"/>
      <ns0:c r="G18" s="65"/>
      <ns0:c r="H18" s="78" t="n">
        <ns0:f aca="false">IFERROR(E18/F18,0)</ns0:f>
        <ns0:v>0</ns0:v>
      </ns0:c>
      <ns0:c r="I18" s="70"/>
    </ns0:row>
    <ns0:row r="19" customFormat="false" ht="15" hidden="false" customHeight="true" outlineLevel="0" collapsed="false">
      <ns0:c r="A19" s="65"/>
      <ns0:c r="B19" s="68"/>
      <ns0:c r="C19" s="66"/>
      <ns0:c r="D19" s="68"/>
      <ns0:c r="E19" s="67"/>
      <ns0:c r="F19" s="66"/>
      <ns0:c r="G19" s="65"/>
      <ns0:c r="H19" s="78" t="n">
        <ns0:f aca="false">IFERROR(E19/F19,0)</ns0:f>
        <ns0:v>0</ns0:v>
      </ns0:c>
      <ns0:c r="I19" s="70"/>
    </ns0:row>
    <ns0:row r="20" customFormat="false" ht="15" hidden="false" customHeight="true" outlineLevel="0" collapsed="false">
      <ns0:c r="A20" s="65"/>
      <ns0:c r="B20" s="68"/>
      <ns0:c r="C20" s="66"/>
      <ns0:c r="D20" s="68"/>
      <ns0:c r="E20" s="67"/>
      <ns0:c r="F20" s="66"/>
      <ns0:c r="G20" s="65"/>
      <ns0:c r="H20" s="78" t="n">
        <ns0:f aca="false">IFERROR(E20/F20,0)</ns0:f>
        <ns0:v>0</ns0:v>
      </ns0:c>
      <ns0:c r="I20" s="70"/>
    </ns0:row>
    <ns0:row r="21" customFormat="false" ht="15" hidden="false" customHeight="true" outlineLevel="0" collapsed="false">
      <ns0:c r="A21" s="65"/>
      <ns0:c r="B21" s="68"/>
      <ns0:c r="C21" s="66"/>
      <ns0:c r="D21" s="68"/>
      <ns0:c r="E21" s="67"/>
      <ns0:c r="F21" s="66"/>
      <ns0:c r="G21" s="65"/>
      <ns0:c r="H21" s="78" t="n">
        <ns0:f aca="false">IFERROR(E21/F21,0)</ns0:f>
        <ns0:v>0</ns0:v>
      </ns0:c>
      <ns0:c r="I21" s="70"/>
    </ns0:row>
    <ns0:row r="22" customFormat="false" ht="15" hidden="false" customHeight="true" outlineLevel="0" collapsed="false">
      <ns0:c r="A22" s="65"/>
      <ns0:c r="B22" s="68"/>
      <ns0:c r="C22" s="66"/>
      <ns0:c r="D22" s="68"/>
      <ns0:c r="E22" s="67"/>
      <ns0:c r="F22" s="66"/>
      <ns0:c r="G22" s="65"/>
      <ns0:c r="H22" s="78" t="n">
        <ns0:f aca="false">IFERROR(E22/F22,0)</ns0:f>
        <ns0:v>0</ns0:v>
      </ns0:c>
      <ns0:c r="I22" s="70"/>
    </ns0:row>
    <ns0:row r="23" customFormat="false" ht="15" hidden="false" customHeight="true" outlineLevel="0" collapsed="false">
      <ns0:c r="A23" s="65"/>
      <ns0:c r="B23" s="68"/>
      <ns0:c r="C23" s="66"/>
      <ns0:c r="D23" s="68"/>
      <ns0:c r="E23" s="67"/>
      <ns0:c r="F23" s="66"/>
      <ns0:c r="G23" s="65"/>
      <ns0:c r="H23" s="78" t="n">
        <ns0:f aca="false">IFERROR(E23/F23,0)</ns0:f>
        <ns0:v>0</ns0:v>
      </ns0:c>
      <ns0:c r="I23" s="70"/>
    </ns0:row>
    <ns0:row r="24" customFormat="false" ht="15" hidden="false" customHeight="true" outlineLevel="0" collapsed="false">
      <ns0:c r="A24" s="65"/>
      <ns0:c r="B24" s="68"/>
      <ns0:c r="C24" s="66"/>
      <ns0:c r="D24" s="68"/>
      <ns0:c r="E24" s="67"/>
      <ns0:c r="F24" s="66"/>
      <ns0:c r="G24" s="65"/>
      <ns0:c r="H24" s="78" t="n">
        <ns0:f aca="false">IFERROR(E24/F24,0)</ns0:f>
        <ns0:v>0</ns0:v>
      </ns0:c>
      <ns0:c r="I24" s="70"/>
    </ns0:row>
    <ns0:row r="25" customFormat="false" ht="15" hidden="false" customHeight="true" outlineLevel="0" collapsed="false">
      <ns0:c r="A25" s="65"/>
      <ns0:c r="B25" s="68"/>
      <ns0:c r="C25" s="66"/>
      <ns0:c r="D25" s="68"/>
      <ns0:c r="E25" s="67"/>
      <ns0:c r="F25" s="66"/>
      <ns0:c r="G25" s="65"/>
      <ns0:c r="H25" s="78" t="n">
        <ns0:f aca="false">IFERROR(E25/F25,0)</ns0:f>
        <ns0:v>0</ns0:v>
      </ns0:c>
      <ns0:c r="I25" s="70"/>
    </ns0:row>
    <ns0:row r="26" customFormat="false" ht="15" hidden="false" customHeight="true" outlineLevel="0" collapsed="false">
      <ns0:c r="A26" s="65"/>
      <ns0:c r="B26" s="68"/>
      <ns0:c r="C26" s="66"/>
      <ns0:c r="D26" s="68"/>
      <ns0:c r="E26" s="67"/>
      <ns0:c r="F26" s="66"/>
      <ns0:c r="G26" s="65"/>
      <ns0:c r="H26" s="78" t="n">
        <ns0:f aca="false">IFERROR(E26/F26,0)</ns0:f>
        <ns0:v>0</ns0:v>
      </ns0:c>
      <ns0:c r="I26" s="70"/>
    </ns0:row>
    <ns0:row r="27" customFormat="false" ht="15" hidden="false" customHeight="true" outlineLevel="0" collapsed="false">
      <ns0:c r="A27" s="65"/>
      <ns0:c r="B27" s="68"/>
      <ns0:c r="C27" s="66"/>
      <ns0:c r="D27" s="68"/>
      <ns0:c r="E27" s="67"/>
      <ns0:c r="F27" s="66"/>
      <ns0:c r="G27" s="65"/>
      <ns0:c r="H27" s="78" t="n">
        <ns0:f aca="false">IFERROR(E27/F27,0)</ns0:f>
        <ns0:v>0</ns0:v>
      </ns0:c>
      <ns0:c r="I27" s="70"/>
    </ns0:row>
    <ns0:row r="28" customFormat="false" ht="15" hidden="false" customHeight="true" outlineLevel="0" collapsed="false">
      <ns0:c r="A28" s="65"/>
      <ns0:c r="B28" s="68"/>
      <ns0:c r="C28" s="66"/>
      <ns0:c r="D28" s="68"/>
      <ns0:c r="E28" s="67"/>
      <ns0:c r="F28" s="66"/>
      <ns0:c r="G28" s="65"/>
      <ns0:c r="H28" s="78" t="n">
        <ns0:f aca="false">IFERROR(E28/F28,0)</ns0:f>
        <ns0:v>0</ns0:v>
      </ns0:c>
      <ns0:c r="I28" s="70"/>
    </ns0:row>
    <ns0:row r="29" customFormat="false" ht="15" hidden="false" customHeight="true" outlineLevel="0" collapsed="false">
      <ns0:c r="A29" s="65"/>
      <ns0:c r="B29" s="68"/>
      <ns0:c r="C29" s="66"/>
      <ns0:c r="D29" s="68"/>
      <ns0:c r="E29" s="67"/>
      <ns0:c r="F29" s="66"/>
      <ns0:c r="G29" s="65"/>
      <ns0:c r="H29" s="78" t="n">
        <ns0:f aca="false">IFERROR(E29/F29,0)</ns0:f>
        <ns0:v>0</ns0:v>
      </ns0:c>
      <ns0:c r="I29" s="70"/>
    </ns0:row>
    <ns0:row r="30" customFormat="false" ht="15" hidden="false" customHeight="true" outlineLevel="0" collapsed="false">
      <ns0:c r="A30" s="65"/>
      <ns0:c r="B30" s="68"/>
      <ns0:c r="C30" s="66"/>
      <ns0:c r="D30" s="68"/>
      <ns0:c r="E30" s="67"/>
      <ns0:c r="F30" s="66"/>
      <ns0:c r="G30" s="65"/>
      <ns0:c r="H30" s="78" t="n">
        <ns0:f aca="false">IFERROR(E30/F30,0)</ns0:f>
        <ns0:v>0</ns0:v>
      </ns0:c>
      <ns0:c r="I30" s="70"/>
    </ns0:row>
    <ns0:row r="31" customFormat="false" ht="15" hidden="false" customHeight="true" outlineLevel="0" collapsed="false">
      <ns0:c r="A31" s="65"/>
      <ns0:c r="B31" s="68"/>
      <ns0:c r="C31" s="66"/>
      <ns0:c r="D31" s="68"/>
      <ns0:c r="E31" s="67"/>
      <ns0:c r="F31" s="66"/>
      <ns0:c r="G31" s="65"/>
      <ns0:c r="H31" s="78" t="n">
        <ns0:f aca="false">IFERROR(E31/F31,0)</ns0:f>
        <ns0:v>0</ns0:v>
      </ns0:c>
      <ns0:c r="I31" s="70"/>
    </ns0:row>
    <ns0:row r="32" customFormat="false" ht="15" hidden="false" customHeight="true" outlineLevel="0" collapsed="false">
      <ns0:c r="A32" s="65"/>
      <ns0:c r="B32" s="68"/>
      <ns0:c r="C32" s="66"/>
      <ns0:c r="D32" s="68"/>
      <ns0:c r="E32" s="67"/>
      <ns0:c r="F32" s="66"/>
      <ns0:c r="G32" s="65"/>
      <ns0:c r="H32" s="78" t="n">
        <ns0:f aca="false">IFERROR(E32/F32,0)</ns0:f>
        <ns0:v>0</ns0:v>
      </ns0:c>
      <ns0:c r="I32" s="70"/>
    </ns0:row>
    <ns0:row r="33" customFormat="false" ht="15" hidden="false" customHeight="true" outlineLevel="0" collapsed="false">
      <ns0:c r="A33" s="65"/>
      <ns0:c r="B33" s="68"/>
      <ns0:c r="C33" s="66"/>
      <ns0:c r="D33" s="68"/>
      <ns0:c r="E33" s="67"/>
      <ns0:c r="F33" s="66"/>
      <ns0:c r="G33" s="65"/>
      <ns0:c r="H33" s="78" t="n">
        <ns0:f aca="false">IFERROR(E33/F33,0)</ns0:f>
        <ns0:v>0</ns0:v>
      </ns0:c>
      <ns0:c r="I33" s="70"/>
    </ns0:row>
    <ns0:row r="34" customFormat="false" ht="15" hidden="false" customHeight="true" outlineLevel="0" collapsed="false">
      <ns0:c r="A34" s="65"/>
      <ns0:c r="B34" s="68"/>
      <ns0:c r="C34" s="66"/>
      <ns0:c r="D34" s="68"/>
      <ns0:c r="E34" s="67"/>
      <ns0:c r="F34" s="66"/>
      <ns0:c r="G34" s="65"/>
      <ns0:c r="H34" s="78" t="n">
        <ns0:f aca="false">IFERROR(E34/F34,0)</ns0:f>
        <ns0:v>0</ns0:v>
      </ns0:c>
      <ns0:c r="I34" s="70"/>
    </ns0:row>
    <ns0:row r="35" customFormat="false" ht="15" hidden="false" customHeight="true" outlineLevel="0" collapsed="false">
      <ns0:c r="A35" s="65"/>
      <ns0:c r="B35" s="68"/>
      <ns0:c r="C35" s="66"/>
      <ns0:c r="D35" s="68"/>
      <ns0:c r="E35" s="67"/>
      <ns0:c r="F35" s="66"/>
      <ns0:c r="G35" s="65"/>
      <ns0:c r="H35" s="78" t="n">
        <ns0:f aca="false">IFERROR(E35/F35,0)</ns0:f>
        <ns0:v>0</ns0:v>
      </ns0:c>
      <ns0:c r="I35" s="70"/>
    </ns0:row>
    <ns0:row r="36" customFormat="false" ht="15" hidden="false" customHeight="true" outlineLevel="0" collapsed="false">
      <ns0:c r="A36" s="65"/>
      <ns0:c r="B36" s="68"/>
      <ns0:c r="C36" s="66"/>
      <ns0:c r="D36" s="68"/>
      <ns0:c r="E36" s="67"/>
      <ns0:c r="F36" s="66"/>
      <ns0:c r="G36" s="65"/>
      <ns0:c r="H36" s="78" t="n">
        <ns0:f aca="false">IFERROR(E36/F36,0)</ns0:f>
        <ns0:v>0</ns0:v>
      </ns0:c>
      <ns0:c r="I36" s="70"/>
    </ns0:row>
    <ns0:row r="37" customFormat="false" ht="15" hidden="false" customHeight="true" outlineLevel="0" collapsed="false">
      <ns0:c r="A37" s="65"/>
      <ns0:c r="B37" s="68"/>
      <ns0:c r="C37" s="66"/>
      <ns0:c r="D37" s="68"/>
      <ns0:c r="E37" s="67"/>
      <ns0:c r="F37" s="66"/>
      <ns0:c r="G37" s="65"/>
      <ns0:c r="H37" s="78" t="n">
        <ns0:f aca="false">IFERROR(E37/F37,0)</ns0:f>
        <ns0:v>0</ns0:v>
      </ns0:c>
      <ns0:c r="I37" s="70"/>
    </ns0:row>
    <ns0:row r="38" customFormat="false" ht="15" hidden="false" customHeight="true" outlineLevel="0" collapsed="false">
      <ns0:c r="A38" s="65"/>
      <ns0:c r="B38" s="68"/>
      <ns0:c r="C38" s="66"/>
      <ns0:c r="D38" s="68"/>
      <ns0:c r="E38" s="67"/>
      <ns0:c r="F38" s="66"/>
      <ns0:c r="G38" s="65"/>
      <ns0:c r="H38" s="78" t="n">
        <ns0:f aca="false">IFERROR(E38/F38,0)</ns0:f>
        <ns0:v>0</ns0:v>
      </ns0:c>
      <ns0:c r="I38" s="70"/>
    </ns0:row>
    <ns0:row r="39" customFormat="false" ht="15" hidden="false" customHeight="true" outlineLevel="0" collapsed="false">
      <ns0:c r="A39" s="65"/>
      <ns0:c r="B39" s="68"/>
      <ns0:c r="C39" s="66"/>
      <ns0:c r="D39" s="68"/>
      <ns0:c r="E39" s="67"/>
      <ns0:c r="F39" s="66"/>
      <ns0:c r="G39" s="65"/>
      <ns0:c r="H39" s="78" t="n">
        <ns0:f aca="false">IFERROR(E39/F39,0)</ns0:f>
        <ns0:v>0</ns0:v>
      </ns0:c>
      <ns0:c r="I39" s="70"/>
    </ns0:row>
    <ns0:row r="40" customFormat="false" ht="15" hidden="false" customHeight="true" outlineLevel="0" collapsed="false">
      <ns0:c r="A40" s="65"/>
      <ns0:c r="B40" s="68"/>
      <ns0:c r="C40" s="66"/>
      <ns0:c r="D40" s="68"/>
      <ns0:c r="E40" s="67"/>
      <ns0:c r="F40" s="66"/>
      <ns0:c r="G40" s="65"/>
      <ns0:c r="H40" s="78" t="n">
        <ns0:f aca="false">IFERROR(E40/F40,0)</ns0:f>
        <ns0:v>0</ns0:v>
      </ns0:c>
      <ns0:c r="I40" s="70"/>
    </ns0:row>
    <ns0:row r="41" customFormat="false" ht="15" hidden="false" customHeight="true" outlineLevel="0" collapsed="false">
      <ns0:c r="A41" s="65"/>
      <ns0:c r="B41" s="68"/>
      <ns0:c r="C41" s="66"/>
      <ns0:c r="D41" s="68"/>
      <ns0:c r="E41" s="67"/>
      <ns0:c r="F41" s="66"/>
      <ns0:c r="G41" s="65"/>
      <ns0:c r="H41" s="78" t="n">
        <ns0:f aca="false">IFERROR(E41/F41,0)</ns0:f>
        <ns0:v>0</ns0:v>
      </ns0:c>
      <ns0:c r="I41" s="70"/>
    </ns0:row>
    <ns0:row r="42" customFormat="false" ht="15" hidden="false" customHeight="true" outlineLevel="0" collapsed="false">
      <ns0:c r="A42" s="65"/>
      <ns0:c r="B42" s="68"/>
      <ns0:c r="C42" s="66"/>
      <ns0:c r="D42" s="68"/>
      <ns0:c r="E42" s="67"/>
      <ns0:c r="F42" s="66"/>
      <ns0:c r="G42" s="65"/>
      <ns0:c r="H42" s="78" t="n">
        <ns0:f aca="false">IFERROR(E42/F42,0)</ns0:f>
        <ns0:v>0</ns0:v>
      </ns0:c>
      <ns0:c r="I42" s="70"/>
    </ns0:row>
    <ns0:row r="43" customFormat="false" ht="15" hidden="false" customHeight="true" outlineLevel="0" collapsed="false">
      <ns0:c r="A43" s="65"/>
      <ns0:c r="B43" s="68"/>
      <ns0:c r="C43" s="66"/>
      <ns0:c r="D43" s="68"/>
      <ns0:c r="E43" s="67"/>
      <ns0:c r="F43" s="66"/>
      <ns0:c r="G43" s="65"/>
      <ns0:c r="H43" s="78" t="n">
        <ns0:f aca="false">IFERROR(E43/F43,0)</ns0:f>
        <ns0:v>0</ns0:v>
      </ns0:c>
      <ns0:c r="I43" s="70"/>
    </ns0:row>
    <ns0:row r="44" customFormat="false" ht="15" hidden="false" customHeight="true" outlineLevel="0" collapsed="false">
      <ns0:c r="A44" s="65"/>
      <ns0:c r="B44" s="68"/>
      <ns0:c r="C44" s="66"/>
      <ns0:c r="D44" s="68"/>
      <ns0:c r="E44" s="67"/>
      <ns0:c r="F44" s="66"/>
      <ns0:c r="G44" s="65"/>
      <ns0:c r="H44" s="78" t="n">
        <ns0:f aca="false">IFERROR(E44/F44,0)</ns0:f>
        <ns0:v>0</ns0:v>
      </ns0:c>
      <ns0:c r="I44" s="70"/>
    </ns0:row>
    <ns0:row r="45" customFormat="false" ht="15" hidden="false" customHeight="true" outlineLevel="0" collapsed="false">
      <ns0:c r="A45" s="65"/>
      <ns0:c r="B45" s="68"/>
      <ns0:c r="C45" s="66"/>
      <ns0:c r="D45" s="68"/>
      <ns0:c r="E45" s="67"/>
      <ns0:c r="F45" s="66"/>
      <ns0:c r="G45" s="65"/>
      <ns0:c r="H45" s="78" t="n">
        <ns0:f aca="false">IFERROR(E45/F45,0)</ns0:f>
        <ns0:v>0</ns0:v>
      </ns0:c>
      <ns0:c r="I45" s="70"/>
    </ns0:row>
    <ns0:row r="46" customFormat="false" ht="15" hidden="false" customHeight="true" outlineLevel="0" collapsed="false">
      <ns0:c r="A46" s="65"/>
      <ns0:c r="B46" s="68"/>
      <ns0:c r="C46" s="66"/>
      <ns0:c r="D46" s="68"/>
      <ns0:c r="E46" s="67"/>
      <ns0:c r="F46" s="66"/>
      <ns0:c r="G46" s="65"/>
      <ns0:c r="H46" s="78" t="n">
        <ns0:f aca="false">IFERROR(E46/F46,0)</ns0:f>
        <ns0:v>0</ns0:v>
      </ns0:c>
      <ns0:c r="I46" s="70"/>
    </ns0:row>
    <ns0:row r="47" customFormat="false" ht="15" hidden="false" customHeight="true" outlineLevel="0" collapsed="false">
      <ns0:c r="A47" s="65"/>
      <ns0:c r="B47" s="68"/>
      <ns0:c r="C47" s="66"/>
      <ns0:c r="D47" s="68"/>
      <ns0:c r="E47" s="67"/>
      <ns0:c r="F47" s="66"/>
      <ns0:c r="G47" s="65"/>
      <ns0:c r="H47" s="78" t="n">
        <ns0:f aca="false">IFERROR(E47/F47,0)</ns0:f>
        <ns0:v>0</ns0:v>
      </ns0:c>
      <ns0:c r="I47" s="70"/>
    </ns0:row>
    <ns0:row r="48" customFormat="false" ht="15" hidden="false" customHeight="true" outlineLevel="0" collapsed="false">
      <ns0:c r="A48" s="65"/>
      <ns0:c r="B48" s="68"/>
      <ns0:c r="C48" s="66"/>
      <ns0:c r="D48" s="68"/>
      <ns0:c r="E48" s="67"/>
      <ns0:c r="F48" s="66"/>
      <ns0:c r="G48" s="65"/>
      <ns0:c r="H48" s="78" t="n">
        <ns0:f aca="false">IFERROR(E48/F48,0)</ns0:f>
        <ns0:v>0</ns0:v>
      </ns0:c>
      <ns0:c r="I48" s="70"/>
    </ns0:row>
    <ns0:row r="49" customFormat="false" ht="15" hidden="false" customHeight="true" outlineLevel="0" collapsed="false">
      <ns0:c r="A49" s="65"/>
      <ns0:c r="B49" s="68"/>
      <ns0:c r="C49" s="66"/>
      <ns0:c r="D49" s="68"/>
      <ns0:c r="E49" s="67"/>
      <ns0:c r="F49" s="66"/>
      <ns0:c r="G49" s="65"/>
      <ns0:c r="H49" s="78" t="n">
        <ns0:f aca="false">IFERROR(E49/F49,0)</ns0:f>
        <ns0:v>0</ns0:v>
      </ns0:c>
      <ns0:c r="I49" s="70"/>
    </ns0:row>
    <ns0:row r="50" customFormat="false" ht="15" hidden="false" customHeight="true" outlineLevel="0" collapsed="false">
      <ns0:c r="A50" s="65"/>
      <ns0:c r="B50" s="68"/>
      <ns0:c r="C50" s="66"/>
      <ns0:c r="D50" s="68"/>
      <ns0:c r="E50" s="67"/>
      <ns0:c r="F50" s="66"/>
      <ns0:c r="G50" s="65"/>
      <ns0:c r="H50" s="78" t="n">
        <ns0:f aca="false">IFERROR(E50/F50,0)</ns0:f>
        <ns0:v>0</ns0:v>
      </ns0:c>
      <ns0:c r="I50" s="70"/>
    </ns0:row>
    <ns0:row r="51" customFormat="false" ht="15" hidden="false" customHeight="true" outlineLevel="0" collapsed="false">
      <ns0:c r="A51" s="65"/>
      <ns0:c r="B51" s="68"/>
      <ns0:c r="C51" s="66"/>
      <ns0:c r="D51" s="68"/>
      <ns0:c r="E51" s="67"/>
      <ns0:c r="F51" s="66"/>
      <ns0:c r="G51" s="65"/>
      <ns0:c r="H51" s="78" t="n">
        <ns0:f aca="false">IFERROR(E51/F51,0)</ns0:f>
        <ns0:v>0</ns0:v>
      </ns0:c>
      <ns0:c r="I51" s="70"/>
    </ns0:row>
    <ns0:row r="52" customFormat="false" ht="15" hidden="false" customHeight="true" outlineLevel="0" collapsed="false">
      <ns0:c r="A52" s="65"/>
      <ns0:c r="B52" s="68"/>
      <ns0:c r="C52" s="66"/>
      <ns0:c r="D52" s="68"/>
      <ns0:c r="E52" s="67"/>
      <ns0:c r="F52" s="66"/>
      <ns0:c r="G52" s="65"/>
      <ns0:c r="H52" s="78" t="n">
        <ns0:f aca="false">IFERROR(E52/F52,0)</ns0:f>
        <ns0:v>0</ns0:v>
      </ns0:c>
      <ns0:c r="I52" s="70"/>
    </ns0:row>
    <ns0:row r="53" customFormat="false" ht="15" hidden="false" customHeight="true" outlineLevel="0" collapsed="false">
      <ns0:c r="A53" s="65"/>
      <ns0:c r="B53" s="68"/>
      <ns0:c r="C53" s="66"/>
      <ns0:c r="D53" s="68"/>
      <ns0:c r="E53" s="67"/>
      <ns0:c r="F53" s="66"/>
      <ns0:c r="G53" s="65"/>
      <ns0:c r="H53" s="78" t="n">
        <ns0:f aca="false">IFERROR(E53/F53,0)</ns0:f>
        <ns0:v>0</ns0:v>
      </ns0:c>
      <ns0:c r="I53" s="70"/>
    </ns0:row>
    <ns0:row r="54" customFormat="false" ht="15" hidden="false" customHeight="true" outlineLevel="0" collapsed="false">
      <ns0:c r="A54" s="65"/>
      <ns0:c r="B54" s="68"/>
      <ns0:c r="C54" s="66"/>
      <ns0:c r="D54" s="68"/>
      <ns0:c r="E54" s="67"/>
      <ns0:c r="F54" s="66"/>
      <ns0:c r="G54" s="65"/>
      <ns0:c r="H54" s="78" t="n">
        <ns0:f aca="false">IFERROR(E54/F54,0)</ns0:f>
        <ns0:v>0</ns0:v>
      </ns0:c>
      <ns0:c r="I54" s="70"/>
    </ns0:row>
    <ns0:row r="55" customFormat="false" ht="15" hidden="false" customHeight="true" outlineLevel="0" collapsed="false">
      <ns0:c r="A55" s="65"/>
      <ns0:c r="B55" s="68"/>
      <ns0:c r="C55" s="66"/>
      <ns0:c r="D55" s="68"/>
      <ns0:c r="E55" s="67"/>
      <ns0:c r="F55" s="66"/>
      <ns0:c r="G55" s="65"/>
      <ns0:c r="H55" s="78" t="n">
        <ns0:f aca="false">IFERROR(E55/F55,0)</ns0:f>
        <ns0:v>0</ns0:v>
      </ns0:c>
      <ns0:c r="I55" s="70"/>
    </ns0:row>
    <ns0:row r="56" customFormat="false" ht="15" hidden="false" customHeight="true" outlineLevel="0" collapsed="false">
      <ns0:c r="A56" s="65"/>
      <ns0:c r="B56" s="68"/>
      <ns0:c r="C56" s="66"/>
      <ns0:c r="D56" s="68"/>
      <ns0:c r="E56" s="67"/>
      <ns0:c r="F56" s="66"/>
      <ns0:c r="G56" s="65"/>
      <ns0:c r="H56" s="78" t="n">
        <ns0:f aca="false">IFERROR(E56/F56,0)</ns0:f>
        <ns0:v>0</ns0:v>
      </ns0:c>
      <ns0:c r="I56" s="70"/>
    </ns0:row>
    <ns0:row r="57" customFormat="false" ht="15" hidden="false" customHeight="true" outlineLevel="0" collapsed="false">
      <ns0:c r="A57" s="65"/>
      <ns0:c r="B57" s="68"/>
      <ns0:c r="C57" s="66"/>
      <ns0:c r="D57" s="68"/>
      <ns0:c r="E57" s="67"/>
      <ns0:c r="F57" s="66"/>
      <ns0:c r="G57" s="65"/>
      <ns0:c r="H57" s="78" t="n">
        <ns0:f aca="false">IFERROR(E57/F57,0)</ns0:f>
        <ns0:v>0</ns0:v>
      </ns0:c>
      <ns0:c r="I57" s="70"/>
    </ns0:row>
    <ns0:row r="58" customFormat="false" ht="15" hidden="false" customHeight="true" outlineLevel="0" collapsed="false">
      <ns0:c r="A58" s="65"/>
      <ns0:c r="B58" s="68"/>
      <ns0:c r="C58" s="66"/>
      <ns0:c r="D58" s="68"/>
      <ns0:c r="E58" s="67"/>
      <ns0:c r="F58" s="66"/>
      <ns0:c r="G58" s="65"/>
      <ns0:c r="H58" s="78" t="n">
        <ns0:f aca="false">IFERROR(E58/F58,0)</ns0:f>
        <ns0:v>0</ns0:v>
      </ns0:c>
      <ns0:c r="I58" s="70"/>
    </ns0:row>
    <ns0:row r="59" customFormat="false" ht="15" hidden="false" customHeight="true" outlineLevel="0" collapsed="false">
      <ns0:c r="A59" s="65"/>
      <ns0:c r="B59" s="68"/>
      <ns0:c r="C59" s="66"/>
      <ns0:c r="D59" s="68"/>
      <ns0:c r="E59" s="67"/>
      <ns0:c r="F59" s="66"/>
      <ns0:c r="G59" s="65"/>
      <ns0:c r="H59" s="78" t="n">
        <ns0:f aca="false">IFERROR(E59/F59,0)</ns0:f>
        <ns0:v>0</ns0:v>
      </ns0:c>
      <ns0:c r="I59" s="70"/>
    </ns0:row>
    <ns0:row r="60" customFormat="false" ht="15" hidden="false" customHeight="true" outlineLevel="0" collapsed="false">
      <ns0:c r="A60" s="65"/>
      <ns0:c r="B60" s="68"/>
      <ns0:c r="C60" s="66"/>
      <ns0:c r="D60" s="68"/>
      <ns0:c r="E60" s="67"/>
      <ns0:c r="F60" s="66"/>
      <ns0:c r="G60" s="65"/>
      <ns0:c r="H60" s="78" t="n">
        <ns0:f aca="false">IFERROR(E60/F60,0)</ns0:f>
        <ns0:v>0</ns0:v>
      </ns0:c>
      <ns0:c r="I60" s="70"/>
    </ns0:row>
    <ns0:row r="61" customFormat="false" ht="15" hidden="false" customHeight="true" outlineLevel="0" collapsed="false">
      <ns0:c r="A61" s="65"/>
      <ns0:c r="B61" s="68"/>
      <ns0:c r="C61" s="66"/>
      <ns0:c r="D61" s="68"/>
      <ns0:c r="E61" s="67"/>
      <ns0:c r="F61" s="66"/>
      <ns0:c r="G61" s="65"/>
      <ns0:c r="H61" s="79" t="n">
        <ns0:f aca="false">IFERROR(E61/F61,0)</ns0:f>
        <ns0:v>0</ns0:v>
      </ns0:c>
      <ns0:c r="I61" s="70"/>
    </ns0:row>
    <ns0:row r="62" customFormat="false" ht="15" hidden="false" customHeight="true" outlineLevel="0" collapsed="false">
      <ns0:c r="A62" s="65"/>
      <ns0:c r="B62" s="68"/>
      <ns0:c r="C62" s="66"/>
      <ns0:c r="D62" s="68"/>
      <ns0:c r="E62" s="67"/>
      <ns0:c r="F62" s="66"/>
      <ns0:c r="G62" s="65"/>
      <ns0:c r="H62" s="79" t="n">
        <ns0:f aca="false">IFERROR(E62/F62,0)</ns0:f>
        <ns0:v>0</ns0:v>
      </ns0:c>
      <ns0:c r="I62" s="70"/>
    </ns0:row>
    <ns0:row r="63" customFormat="false" ht="15" hidden="false" customHeight="true" outlineLevel="0" collapsed="false">
      <ns0:c r="A63" s="65"/>
      <ns0:c r="B63" s="68"/>
      <ns0:c r="C63" s="66"/>
      <ns0:c r="D63" s="68"/>
      <ns0:c r="E63" s="67"/>
      <ns0:c r="F63" s="66"/>
      <ns0:c r="G63" s="65"/>
      <ns0:c r="H63" s="79" t="n">
        <ns0:f aca="false">IFERROR(E63/F63,0)</ns0:f>
        <ns0:v>0</ns0:v>
      </ns0:c>
      <ns0:c r="I63" s="70"/>
    </ns0:row>
    <ns0:row r="64" customFormat="false" ht="15" hidden="false" customHeight="true" outlineLevel="0" collapsed="false">
      <ns0:c r="A64" s="65"/>
      <ns0:c r="B64" s="68"/>
      <ns0:c r="C64" s="66"/>
      <ns0:c r="D64" s="68"/>
      <ns0:c r="E64" s="67"/>
      <ns0:c r="F64" s="66"/>
      <ns0:c r="G64" s="65"/>
      <ns0:c r="H64" s="79" t="n">
        <ns0:f aca="false">IFERROR(E64/F64,0)</ns0:f>
        <ns0:v>0</ns0:v>
      </ns0:c>
      <ns0:c r="I64" s="70"/>
    </ns0:row>
    <ns0:row r="65" customFormat="false" ht="15" hidden="false" customHeight="true" outlineLevel="0" collapsed="false">
      <ns0:c r="A65" s="65"/>
      <ns0:c r="B65" s="68"/>
      <ns0:c r="C65" s="66"/>
      <ns0:c r="D65" s="68"/>
      <ns0:c r="E65" s="67"/>
      <ns0:c r="F65" s="66"/>
      <ns0:c r="G65" s="65"/>
      <ns0:c r="H65" s="79" t="n">
        <ns0:f aca="false">IFERROR(E65/F65,0)</ns0:f>
        <ns0:v>0</ns0:v>
      </ns0:c>
      <ns0:c r="I65" s="70"/>
    </ns0:row>
    <ns0:row r="66" customFormat="false" ht="15" hidden="false" customHeight="true" outlineLevel="0" collapsed="false">
      <ns0:c r="A66" s="65"/>
      <ns0:c r="B66" s="68"/>
      <ns0:c r="C66" s="66"/>
      <ns0:c r="D66" s="68"/>
      <ns0:c r="E66" s="67"/>
      <ns0:c r="F66" s="66"/>
      <ns0:c r="G66" s="65"/>
      <ns0:c r="H66" s="79" t="n">
        <ns0:f aca="false">IFERROR(E66/F66,0)</ns0:f>
        <ns0:v>0</ns0:v>
      </ns0:c>
      <ns0:c r="I66" s="70"/>
    </ns0:row>
    <ns0:row r="67" customFormat="false" ht="15" hidden="false" customHeight="true" outlineLevel="0" collapsed="false">
      <ns0:c r="A67" s="65"/>
      <ns0:c r="B67" s="68"/>
      <ns0:c r="C67" s="66"/>
      <ns0:c r="D67" s="68"/>
      <ns0:c r="E67" s="67"/>
      <ns0:c r="F67" s="66"/>
      <ns0:c r="G67" s="65"/>
      <ns0:c r="H67" s="79" t="n">
        <ns0:f aca="false">IFERROR(E67/F67,0)</ns0:f>
        <ns0:v>0</ns0:v>
      </ns0:c>
      <ns0:c r="I67" s="70"/>
    </ns0:row>
    <ns0:row r="68" customFormat="false" ht="15" hidden="false" customHeight="true" outlineLevel="0" collapsed="false">
      <ns0:c r="A68" s="65"/>
      <ns0:c r="B68" s="68"/>
      <ns0:c r="C68" s="66"/>
      <ns0:c r="D68" s="68"/>
      <ns0:c r="E68" s="67"/>
      <ns0:c r="F68" s="66"/>
      <ns0:c r="G68" s="65"/>
      <ns0:c r="H68" s="79" t="n">
        <ns0:f aca="false">IFERROR(E68/F68,0)</ns0:f>
        <ns0:v>0</ns0:v>
      </ns0:c>
      <ns0:c r="I68" s="70"/>
    </ns0:row>
    <ns0:row r="69" customFormat="false" ht="15" hidden="false" customHeight="true" outlineLevel="0" collapsed="false">
      <ns0:c r="A69" s="65"/>
      <ns0:c r="B69" s="68"/>
      <ns0:c r="C69" s="66"/>
      <ns0:c r="D69" s="68"/>
      <ns0:c r="E69" s="67"/>
      <ns0:c r="F69" s="66"/>
      <ns0:c r="G69" s="65"/>
      <ns0:c r="H69" s="79" t="n">
        <ns0:f aca="false">IFERROR(E69/F69,0)</ns0:f>
        <ns0:v>0</ns0:v>
      </ns0:c>
      <ns0:c r="I69" s="70"/>
    </ns0:row>
    <ns0:row r="70" customFormat="false" ht="15" hidden="false" customHeight="true" outlineLevel="0" collapsed="false">
      <ns0:c r="A70" s="65"/>
      <ns0:c r="B70" s="68"/>
      <ns0:c r="C70" s="66"/>
      <ns0:c r="D70" s="68"/>
      <ns0:c r="E70" s="67"/>
      <ns0:c r="F70" s="66"/>
      <ns0:c r="G70" s="65"/>
      <ns0:c r="H70" s="79" t="n">
        <ns0:f aca="false">IFERROR(E70/F70,0)</ns0:f>
        <ns0:v>0</ns0:v>
      </ns0:c>
      <ns0:c r="I70" s="70"/>
    </ns0:row>
    <ns0:row r="71" customFormat="false" ht="15" hidden="false" customHeight="true" outlineLevel="0" collapsed="false">
      <ns0:c r="A71" s="65"/>
      <ns0:c r="B71" s="68"/>
      <ns0:c r="C71" s="66"/>
      <ns0:c r="D71" s="68"/>
      <ns0:c r="E71" s="67"/>
      <ns0:c r="F71" s="66"/>
      <ns0:c r="G71" s="65"/>
      <ns0:c r="H71" s="79" t="n">
        <ns0:f aca="false">IFERROR(E71/F71,0)</ns0:f>
        <ns0:v>0</ns0:v>
      </ns0:c>
      <ns0:c r="I71" s="70"/>
    </ns0:row>
    <ns0:row r="72" customFormat="false" ht="15" hidden="false" customHeight="true" outlineLevel="0" collapsed="false">
      <ns0:c r="A72" s="65"/>
      <ns0:c r="B72" s="68"/>
      <ns0:c r="C72" s="66"/>
      <ns0:c r="D72" s="68"/>
      <ns0:c r="E72" s="67"/>
      <ns0:c r="F72" s="66"/>
      <ns0:c r="G72" s="65"/>
      <ns0:c r="H72" s="79" t="n">
        <ns0:f aca="false">IFERROR(E72/F72,0)</ns0:f>
        <ns0:v>0</ns0:v>
      </ns0:c>
      <ns0:c r="I72" s="70"/>
    </ns0:row>
    <ns0:row r="73" customFormat="false" ht="15" hidden="false" customHeight="true" outlineLevel="0" collapsed="false">
      <ns0:c r="A73" s="65"/>
      <ns0:c r="B73" s="68"/>
      <ns0:c r="C73" s="66"/>
      <ns0:c r="D73" s="68"/>
      <ns0:c r="E73" s="67"/>
      <ns0:c r="F73" s="66"/>
      <ns0:c r="G73" s="65"/>
      <ns0:c r="H73" s="79" t="n">
        <ns0:f aca="false">IFERROR(E73/F73,0)</ns0:f>
        <ns0:v>0</ns0:v>
      </ns0:c>
      <ns0:c r="I73" s="70"/>
    </ns0:row>
    <ns0:row r="74" customFormat="false" ht="15" hidden="false" customHeight="true" outlineLevel="0" collapsed="false">
      <ns0:c r="A74" s="65"/>
      <ns0:c r="B74" s="68"/>
      <ns0:c r="C74" s="66"/>
      <ns0:c r="D74" s="68"/>
      <ns0:c r="E74" s="67"/>
      <ns0:c r="F74" s="66"/>
      <ns0:c r="G74" s="65"/>
      <ns0:c r="H74" s="79" t="n">
        <ns0:f aca="false">IFERROR(E74/F74,0)</ns0:f>
        <ns0:v>0</ns0:v>
      </ns0:c>
      <ns0:c r="I74" s="70"/>
    </ns0:row>
    <ns0:row r="75" customFormat="false" ht="15" hidden="false" customHeight="true" outlineLevel="0" collapsed="false">
      <ns0:c r="A75" s="65"/>
      <ns0:c r="B75" s="68"/>
      <ns0:c r="C75" s="66"/>
      <ns0:c r="D75" s="68"/>
      <ns0:c r="E75" s="67"/>
      <ns0:c r="F75" s="66"/>
      <ns0:c r="G75" s="65"/>
      <ns0:c r="H75" s="79" t="n">
        <ns0:f aca="false">IFERROR(E75/F75,0)</ns0:f>
        <ns0:v>0</ns0:v>
      </ns0:c>
      <ns0:c r="I75" s="70"/>
    </ns0:row>
    <ns0:row r="76" customFormat="false" ht="15" hidden="false" customHeight="true" outlineLevel="0" collapsed="false">
      <ns0:c r="A76" s="65"/>
      <ns0:c r="B76" s="68"/>
      <ns0:c r="C76" s="66"/>
      <ns0:c r="D76" s="68"/>
      <ns0:c r="E76" s="67"/>
      <ns0:c r="F76" s="66"/>
      <ns0:c r="G76" s="65"/>
      <ns0:c r="H76" s="79" t="n">
        <ns0:f aca="false">IFERROR(E76/F76,0)</ns0:f>
        <ns0:v>0</ns0:v>
      </ns0:c>
      <ns0:c r="I76" s="70"/>
    </ns0:row>
    <ns0:row r="77" customFormat="false" ht="15" hidden="false" customHeight="true" outlineLevel="0" collapsed="false">
      <ns0:c r="A77" s="65"/>
      <ns0:c r="B77" s="68"/>
      <ns0:c r="C77" s="66"/>
      <ns0:c r="D77" s="68"/>
      <ns0:c r="E77" s="67"/>
      <ns0:c r="F77" s="66"/>
      <ns0:c r="G77" s="65"/>
      <ns0:c r="H77" s="79" t="n">
        <ns0:f aca="false">IFERROR(E77/F77,0)</ns0:f>
        <ns0:v>0</ns0:v>
      </ns0:c>
      <ns0:c r="I77" s="70"/>
    </ns0:row>
    <ns0:row r="78" customFormat="false" ht="15" hidden="false" customHeight="true" outlineLevel="0" collapsed="false">
      <ns0:c r="A78" s="65"/>
      <ns0:c r="B78" s="68"/>
      <ns0:c r="C78" s="66"/>
      <ns0:c r="D78" s="68"/>
      <ns0:c r="E78" s="67"/>
      <ns0:c r="F78" s="66"/>
      <ns0:c r="G78" s="65"/>
      <ns0:c r="H78" s="79" t="n">
        <ns0:f aca="false">IFERROR(E78/F78,0)</ns0:f>
        <ns0:v>0</ns0:v>
      </ns0:c>
      <ns0:c r="I78" s="70"/>
    </ns0:row>
    <ns0:row r="79" customFormat="false" ht="15" hidden="false" customHeight="true" outlineLevel="0" collapsed="false">
      <ns0:c r="A79" s="65"/>
      <ns0:c r="B79" s="68"/>
      <ns0:c r="C79" s="66"/>
      <ns0:c r="D79" s="68"/>
      <ns0:c r="E79" s="67"/>
      <ns0:c r="F79" s="66"/>
      <ns0:c r="G79" s="65"/>
      <ns0:c r="H79" s="79" t="n">
        <ns0:f aca="false">IFERROR(E79/F79,0)</ns0:f>
        <ns0:v>0</ns0:v>
      </ns0:c>
      <ns0:c r="I79" s="70"/>
    </ns0:row>
    <ns0:row r="80" customFormat="false" ht="15" hidden="false" customHeight="true" outlineLevel="0" collapsed="false">
      <ns0:c r="A80" s="65"/>
      <ns0:c r="B80" s="68"/>
      <ns0:c r="C80" s="66"/>
      <ns0:c r="D80" s="68"/>
      <ns0:c r="E80" s="67"/>
      <ns0:c r="F80" s="66"/>
      <ns0:c r="G80" s="65"/>
      <ns0:c r="H80" s="79" t="n">
        <ns0:f aca="false">IFERROR(E80/F80,0)</ns0:f>
        <ns0:v>0</ns0:v>
      </ns0:c>
      <ns0:c r="I80" s="70"/>
    </ns0:row>
    <ns0:row r="81" customFormat="false" ht="15" hidden="false" customHeight="true" outlineLevel="0" collapsed="false">
      <ns0:c r="A81" s="65"/>
      <ns0:c r="B81" s="68"/>
      <ns0:c r="C81" s="66"/>
      <ns0:c r="D81" s="68"/>
      <ns0:c r="E81" s="67"/>
      <ns0:c r="F81" s="66"/>
      <ns0:c r="G81" s="65"/>
      <ns0:c r="H81" s="79" t="n">
        <ns0:f aca="false">IFERROR(E81/F81,0)</ns0:f>
        <ns0:v>0</ns0:v>
      </ns0:c>
      <ns0:c r="I81" s="70"/>
    </ns0:row>
    <ns0:row r="82" customFormat="false" ht="15" hidden="false" customHeight="true" outlineLevel="0" collapsed="false">
      <ns0:c r="A82" s="65"/>
      <ns0:c r="B82" s="68"/>
      <ns0:c r="C82" s="66"/>
      <ns0:c r="D82" s="68"/>
      <ns0:c r="E82" s="67"/>
      <ns0:c r="F82" s="66"/>
      <ns0:c r="G82" s="65"/>
      <ns0:c r="H82" s="79" t="n">
        <ns0:f aca="false">IFERROR(E82/F82,0)</ns0:f>
        <ns0:v>0</ns0:v>
      </ns0:c>
      <ns0:c r="I82" s="70"/>
    </ns0:row>
    <ns0:row r="83" customFormat="false" ht="15" hidden="false" customHeight="true" outlineLevel="0" collapsed="false">
      <ns0:c r="A83" s="65"/>
      <ns0:c r="B83" s="68"/>
      <ns0:c r="C83" s="66"/>
      <ns0:c r="D83" s="68"/>
      <ns0:c r="E83" s="67"/>
      <ns0:c r="F83" s="66"/>
      <ns0:c r="G83" s="65"/>
      <ns0:c r="H83" s="79" t="n">
        <ns0:f aca="false">IFERROR(E83/F83,0)</ns0:f>
        <ns0:v>0</ns0:v>
      </ns0:c>
      <ns0:c r="I83" s="70"/>
    </ns0:row>
    <ns0:row r="84" customFormat="false" ht="15" hidden="false" customHeight="true" outlineLevel="0" collapsed="false">
      <ns0:c r="A84" s="65"/>
      <ns0:c r="B84" s="68"/>
      <ns0:c r="C84" s="66"/>
      <ns0:c r="D84" s="68"/>
      <ns0:c r="E84" s="67"/>
      <ns0:c r="F84" s="66"/>
      <ns0:c r="G84" s="65"/>
      <ns0:c r="H84" s="79" t="n">
        <ns0:f aca="false">IFERROR(E84/F84,0)</ns0:f>
        <ns0:v>0</ns0:v>
      </ns0:c>
      <ns0:c r="I84" s="70"/>
    </ns0:row>
    <ns0:row r="85" customFormat="false" ht="15" hidden="false" customHeight="true" outlineLevel="0" collapsed="false">
      <ns0:c r="A85" s="65"/>
      <ns0:c r="B85" s="68"/>
      <ns0:c r="C85" s="66"/>
      <ns0:c r="D85" s="68"/>
      <ns0:c r="E85" s="67"/>
      <ns0:c r="F85" s="66"/>
      <ns0:c r="G85" s="65"/>
      <ns0:c r="H85" s="79" t="n">
        <ns0:f aca="false">IFERROR(E85/F85,0)</ns0:f>
        <ns0:v>0</ns0:v>
      </ns0:c>
      <ns0:c r="I85" s="70"/>
    </ns0:row>
    <ns0:row r="86" customFormat="false" ht="15" hidden="false" customHeight="true" outlineLevel="0" collapsed="false">
      <ns0:c r="A86" s="65"/>
      <ns0:c r="B86" s="68"/>
      <ns0:c r="C86" s="66"/>
      <ns0:c r="D86" s="68"/>
      <ns0:c r="E86" s="67"/>
      <ns0:c r="F86" s="66"/>
      <ns0:c r="G86" s="65"/>
      <ns0:c r="H86" s="79" t="n">
        <ns0:f aca="false">IFERROR(E86/F86,0)</ns0:f>
        <ns0:v>0</ns0:v>
      </ns0:c>
      <ns0:c r="I86" s="70"/>
    </ns0:row>
    <ns0:row r="87" customFormat="false" ht="15" hidden="false" customHeight="true" outlineLevel="0" collapsed="false">
      <ns0:c r="A87" s="65"/>
      <ns0:c r="B87" s="68"/>
      <ns0:c r="C87" s="66"/>
      <ns0:c r="D87" s="68"/>
      <ns0:c r="E87" s="67"/>
      <ns0:c r="F87" s="66"/>
      <ns0:c r="G87" s="65"/>
      <ns0:c r="H87" s="79" t="n">
        <ns0:f aca="false">IFERROR(E87/F87,0)</ns0:f>
        <ns0:v>0</ns0:v>
      </ns0:c>
      <ns0:c r="I87" s="70"/>
    </ns0:row>
    <ns0:row r="88" customFormat="false" ht="15" hidden="false" customHeight="true" outlineLevel="0" collapsed="false">
      <ns0:c r="A88" s="65"/>
      <ns0:c r="B88" s="68"/>
      <ns0:c r="C88" s="66"/>
      <ns0:c r="D88" s="68"/>
      <ns0:c r="E88" s="67"/>
      <ns0:c r="F88" s="66"/>
      <ns0:c r="G88" s="65"/>
      <ns0:c r="H88" s="79" t="n">
        <ns0:f aca="false">IFERROR(E88/F88,0)</ns0:f>
        <ns0:v>0</ns0:v>
      </ns0:c>
      <ns0:c r="I88" s="70"/>
    </ns0:row>
    <ns0:row r="89" customFormat="false" ht="15" hidden="false" customHeight="true" outlineLevel="0" collapsed="false">
      <ns0:c r="A89" s="65"/>
      <ns0:c r="B89" s="68"/>
      <ns0:c r="C89" s="66"/>
      <ns0:c r="D89" s="68"/>
      <ns0:c r="E89" s="67"/>
      <ns0:c r="F89" s="66"/>
      <ns0:c r="G89" s="65"/>
      <ns0:c r="H89" s="79" t="n">
        <ns0:f aca="false">IFERROR(E89/F89,0)</ns0:f>
        <ns0:v>0</ns0:v>
      </ns0:c>
      <ns0:c r="I89" s="70"/>
    </ns0:row>
    <ns0:row r="90" customFormat="false" ht="15" hidden="false" customHeight="true" outlineLevel="0" collapsed="false">
      <ns0:c r="A90" s="65"/>
      <ns0:c r="B90" s="68"/>
      <ns0:c r="C90" s="66"/>
      <ns0:c r="D90" s="68"/>
      <ns0:c r="E90" s="67"/>
      <ns0:c r="F90" s="66"/>
      <ns0:c r="G90" s="65"/>
      <ns0:c r="H90" s="79" t="n">
        <ns0:f aca="false">IFERROR(E90/F90,0)</ns0:f>
        <ns0:v>0</ns0:v>
      </ns0:c>
      <ns0:c r="I90" s="70"/>
    </ns0:row>
    <ns0:row r="91" customFormat="false" ht="15" hidden="false" customHeight="true" outlineLevel="0" collapsed="false">
      <ns0:c r="A91" s="65"/>
      <ns0:c r="B91" s="68"/>
      <ns0:c r="C91" s="66"/>
      <ns0:c r="D91" s="68"/>
      <ns0:c r="E91" s="67"/>
      <ns0:c r="F91" s="66"/>
      <ns0:c r="G91" s="65"/>
      <ns0:c r="H91" s="79" t="n">
        <ns0:f aca="false">IFERROR(E91/F91,0)</ns0:f>
        <ns0:v>0</ns0:v>
      </ns0:c>
      <ns0:c r="I91" s="70"/>
    </ns0:row>
    <ns0:row r="92" customFormat="false" ht="15" hidden="false" customHeight="true" outlineLevel="0" collapsed="false">
      <ns0:c r="A92" s="65"/>
      <ns0:c r="B92" s="68"/>
      <ns0:c r="C92" s="66"/>
      <ns0:c r="D92" s="68"/>
      <ns0:c r="E92" s="67"/>
      <ns0:c r="F92" s="66"/>
      <ns0:c r="G92" s="65"/>
      <ns0:c r="H92" s="79" t="n">
        <ns0:f aca="false">IFERROR(E92/F92,0)</ns0:f>
        <ns0:v>0</ns0:v>
      </ns0:c>
      <ns0:c r="I92" s="70"/>
    </ns0:row>
    <ns0:row r="93" customFormat="false" ht="15" hidden="false" customHeight="true" outlineLevel="0" collapsed="false">
      <ns0:c r="A93" s="65"/>
      <ns0:c r="B93" s="68"/>
      <ns0:c r="C93" s="66"/>
      <ns0:c r="D93" s="68"/>
      <ns0:c r="E93" s="67"/>
      <ns0:c r="F93" s="66"/>
      <ns0:c r="G93" s="65"/>
      <ns0:c r="H93" s="79" t="n">
        <ns0:f aca="false">IFERROR(E93/F93,0)</ns0:f>
        <ns0:v>0</ns0:v>
      </ns0:c>
      <ns0:c r="I93" s="70"/>
    </ns0:row>
    <ns0:row r="94" customFormat="false" ht="15" hidden="false" customHeight="true" outlineLevel="0" collapsed="false">
      <ns0:c r="A94" s="65"/>
      <ns0:c r="B94" s="68"/>
      <ns0:c r="C94" s="66"/>
      <ns0:c r="D94" s="68"/>
      <ns0:c r="E94" s="67"/>
      <ns0:c r="F94" s="66"/>
      <ns0:c r="G94" s="65"/>
      <ns0:c r="H94" s="79" t="n">
        <ns0:f aca="false">IFERROR(E94/F94,0)</ns0:f>
        <ns0:v>0</ns0:v>
      </ns0:c>
      <ns0:c r="I94" s="70"/>
    </ns0:row>
    <ns0:row r="95" customFormat="false" ht="15" hidden="false" customHeight="true" outlineLevel="0" collapsed="false">
      <ns0:c r="A95" s="65"/>
      <ns0:c r="B95" s="68"/>
      <ns0:c r="C95" s="66"/>
      <ns0:c r="D95" s="68"/>
      <ns0:c r="E95" s="67"/>
      <ns0:c r="F95" s="66"/>
      <ns0:c r="G95" s="65"/>
      <ns0:c r="H95" s="79" t="n">
        <ns0:f aca="false">IFERROR(E95/F95,0)</ns0:f>
        <ns0:v>0</ns0:v>
      </ns0:c>
      <ns0:c r="I95" s="70"/>
    </ns0:row>
    <ns0:row r="96" customFormat="false" ht="15" hidden="false" customHeight="true" outlineLevel="0" collapsed="false">
      <ns0:c r="A96" s="65"/>
      <ns0:c r="B96" s="68"/>
      <ns0:c r="C96" s="66"/>
      <ns0:c r="D96" s="68"/>
      <ns0:c r="E96" s="67"/>
      <ns0:c r="F96" s="66"/>
      <ns0:c r="G96" s="65"/>
      <ns0:c r="H96" s="79" t="n">
        <ns0:f aca="false">IFERROR(E96/F96,0)</ns0:f>
        <ns0:v>0</ns0:v>
      </ns0:c>
      <ns0:c r="I96" s="70"/>
    </ns0:row>
    <ns0:row r="97" customFormat="false" ht="15" hidden="false" customHeight="true" outlineLevel="0" collapsed="false">
      <ns0:c r="A97" s="65"/>
      <ns0:c r="B97" s="68"/>
      <ns0:c r="C97" s="66"/>
      <ns0:c r="D97" s="68"/>
      <ns0:c r="E97" s="67"/>
      <ns0:c r="F97" s="66"/>
      <ns0:c r="G97" s="65"/>
      <ns0:c r="H97" s="79" t="n">
        <ns0:f aca="false">IFERROR(E97/F97,0)</ns0:f>
        <ns0:v>0</ns0:v>
      </ns0:c>
      <ns0:c r="I97" s="70"/>
    </ns0:row>
    <ns0:row r="98" customFormat="false" ht="15" hidden="false" customHeight="true" outlineLevel="0" collapsed="false">
      <ns0:c r="A98" s="65"/>
      <ns0:c r="B98" s="68"/>
      <ns0:c r="C98" s="66"/>
      <ns0:c r="D98" s="68"/>
      <ns0:c r="E98" s="67"/>
      <ns0:c r="F98" s="66"/>
      <ns0:c r="G98" s="65"/>
      <ns0:c r="H98" s="79" t="n">
        <ns0:f aca="false">IFERROR(E98/F98,0)</ns0:f>
        <ns0:v>0</ns0:v>
      </ns0:c>
      <ns0:c r="I98" s="70"/>
    </ns0:row>
    <ns0:row r="99" customFormat="false" ht="15" hidden="false" customHeight="true" outlineLevel="0" collapsed="false">
      <ns0:c r="A99" s="65"/>
      <ns0:c r="B99" s="68"/>
      <ns0:c r="C99" s="66"/>
      <ns0:c r="D99" s="68"/>
      <ns0:c r="E99" s="67"/>
      <ns0:c r="F99" s="66"/>
      <ns0:c r="G99" s="65"/>
      <ns0:c r="H99" s="79" t="n">
        <ns0:f aca="false">IFERROR(E99/F99,0)</ns0:f>
        <ns0:v>0</ns0:v>
      </ns0:c>
      <ns0:c r="I99" s="70"/>
    </ns0:row>
    <ns0:row r="100" customFormat="false" ht="15" hidden="false" customHeight="true" outlineLevel="0" collapsed="false">
      <ns0:c r="A100" s="65"/>
      <ns0:c r="B100" s="68"/>
      <ns0:c r="C100" s="66"/>
      <ns0:c r="D100" s="68"/>
      <ns0:c r="E100" s="67"/>
      <ns0:c r="F100" s="66"/>
      <ns0:c r="G100" s="65"/>
      <ns0:c r="H100" s="79" t="n">
        <ns0:f aca="false">IFERROR(E100/F100,0)</ns0:f>
        <ns0:v>0</ns0:v>
      </ns0:c>
      <ns0:c r="I100" s="70"/>
    </ns0:row>
    <ns0:row r="101" customFormat="false" ht="15" hidden="false" customHeight="true" outlineLevel="0" collapsed="false">
      <ns0:c r="A101" s="65"/>
      <ns0:c r="B101" s="68"/>
      <ns0:c r="C101" s="66"/>
      <ns0:c r="D101" s="68"/>
      <ns0:c r="E101" s="67"/>
      <ns0:c r="F101" s="66"/>
      <ns0:c r="G101" s="65"/>
      <ns0:c r="H101" s="79" t="n">
        <ns0:f aca="false">IFERROR(E101/F101,0)</ns0:f>
        <ns0:v>0</ns0:v>
      </ns0:c>
      <ns0:c r="I101" s="70"/>
    </ns0:row>
    <ns0:row r="102" customFormat="false" ht="15" hidden="false" customHeight="true" outlineLevel="0" collapsed="false">
      <ns0:c r="A102" s="65"/>
      <ns0:c r="B102" s="68"/>
      <ns0:c r="C102" s="66"/>
      <ns0:c r="D102" s="68"/>
      <ns0:c r="E102" s="67"/>
      <ns0:c r="F102" s="66"/>
      <ns0:c r="G102" s="65"/>
      <ns0:c r="H102" s="79" t="n">
        <ns0:f aca="false">IFERROR(E102/F102,0)</ns0:f>
        <ns0:v>0</ns0:v>
      </ns0:c>
      <ns0:c r="I102" s="70"/>
    </ns0:row>
    <ns0:row r="103" customFormat="false" ht="15" hidden="false" customHeight="true" outlineLevel="0" collapsed="false">
      <ns0:c r="A103" s="65"/>
      <ns0:c r="B103" s="68"/>
      <ns0:c r="C103" s="66"/>
      <ns0:c r="D103" s="68"/>
      <ns0:c r="E103" s="67"/>
      <ns0:c r="F103" s="66"/>
      <ns0:c r="G103" s="65"/>
      <ns0:c r="H103" s="79" t="n">
        <ns0:f aca="false">IFERROR(E103/F103,0)</ns0:f>
        <ns0:v>0</ns0:v>
      </ns0:c>
      <ns0:c r="I103" s="70"/>
    </ns0:row>
    <ns0:row r="104" customFormat="false" ht="15" hidden="false" customHeight="true" outlineLevel="0" collapsed="false">
      <ns0:c r="A104" s="65"/>
      <ns0:c r="B104" s="68"/>
      <ns0:c r="C104" s="66"/>
      <ns0:c r="D104" s="68"/>
      <ns0:c r="E104" s="67"/>
      <ns0:c r="F104" s="66"/>
      <ns0:c r="G104" s="65"/>
      <ns0:c r="H104" s="79" t="n">
        <ns0:f aca="false">IFERROR(E104/F104,0)</ns0:f>
        <ns0:v>0</ns0:v>
      </ns0:c>
      <ns0:c r="I104" s="70"/>
    </ns0:row>
    <ns0:row r="105" customFormat="false" ht="15" hidden="false" customHeight="true" outlineLevel="0" collapsed="false">
      <ns0:c r="A105" s="65"/>
      <ns0:c r="B105" s="68"/>
      <ns0:c r="C105" s="66"/>
      <ns0:c r="D105" s="68"/>
      <ns0:c r="E105" s="67"/>
      <ns0:c r="F105" s="66"/>
      <ns0:c r="G105" s="65"/>
      <ns0:c r="H105" s="79" t="n">
        <ns0:f aca="false">IFERROR(E105/F105,0)</ns0:f>
        <ns0:v>0</ns0:v>
      </ns0:c>
      <ns0:c r="I105" s="70"/>
    </ns0:row>
    <ns0:row r="106" customFormat="false" ht="15" hidden="false" customHeight="true" outlineLevel="0" collapsed="false">
      <ns0:c r="A106" s="65"/>
      <ns0:c r="B106" s="68"/>
      <ns0:c r="C106" s="66"/>
      <ns0:c r="D106" s="68"/>
      <ns0:c r="E106" s="67"/>
      <ns0:c r="F106" s="66"/>
      <ns0:c r="G106" s="65"/>
      <ns0:c r="H106" s="79" t="n">
        <ns0:f aca="false">IFERROR(E106/F106,0)</ns0:f>
        <ns0:v>0</ns0:v>
      </ns0:c>
      <ns0:c r="I106" s="70"/>
    </ns0:row>
    <ns0:row r="107" customFormat="false" ht="15" hidden="false" customHeight="true" outlineLevel="0" collapsed="false">
      <ns0:c r="A107" s="65"/>
      <ns0:c r="B107" s="68"/>
      <ns0:c r="C107" s="66"/>
      <ns0:c r="D107" s="68"/>
      <ns0:c r="E107" s="67"/>
      <ns0:c r="F107" s="66"/>
      <ns0:c r="G107" s="65"/>
      <ns0:c r="H107" s="79" t="n">
        <ns0:f aca="false">IFERROR(E107/F107,0)</ns0:f>
        <ns0:v>0</ns0:v>
      </ns0:c>
      <ns0:c r="I107" s="70"/>
    </ns0:row>
    <ns0:row r="108" customFormat="false" ht="15" hidden="false" customHeight="true" outlineLevel="0" collapsed="false">
      <ns0:c r="A108" s="65"/>
      <ns0:c r="B108" s="68"/>
      <ns0:c r="C108" s="66"/>
      <ns0:c r="D108" s="68"/>
      <ns0:c r="E108" s="67"/>
      <ns0:c r="F108" s="66"/>
      <ns0:c r="G108" s="65"/>
      <ns0:c r="H108" s="79" t="n">
        <ns0:f aca="false">IFERROR(E108/F108,0)</ns0:f>
        <ns0:v>0</ns0:v>
      </ns0:c>
      <ns0:c r="I108" s="70"/>
    </ns0:row>
    <ns0:row r="109" customFormat="false" ht="15" hidden="false" customHeight="true" outlineLevel="0" collapsed="false">
      <ns0:c r="A109" s="65"/>
      <ns0:c r="B109" s="68"/>
      <ns0:c r="C109" s="66"/>
      <ns0:c r="D109" s="68"/>
      <ns0:c r="E109" s="67"/>
      <ns0:c r="F109" s="66"/>
      <ns0:c r="G109" s="65"/>
      <ns0:c r="H109" s="79" t="n">
        <ns0:f aca="false">IFERROR(E109/F109,0)</ns0:f>
        <ns0:v>0</ns0:v>
      </ns0:c>
      <ns0:c r="I109" s="70"/>
    </ns0:row>
    <ns0:row r="110" customFormat="false" ht="15" hidden="false" customHeight="true" outlineLevel="0" collapsed="false">
      <ns0:c r="A110" s="65"/>
      <ns0:c r="B110" s="68"/>
      <ns0:c r="C110" s="66"/>
      <ns0:c r="D110" s="68"/>
      <ns0:c r="E110" s="67"/>
      <ns0:c r="F110" s="66"/>
      <ns0:c r="G110" s="65"/>
      <ns0:c r="H110" s="79" t="n">
        <ns0:f aca="false">IFERROR(E110/F110,0)</ns0:f>
        <ns0:v>0</ns0:v>
      </ns0:c>
      <ns0:c r="I110" s="70"/>
    </ns0:row>
    <ns0:row r="111" customFormat="false" ht="15" hidden="false" customHeight="true" outlineLevel="0" collapsed="false">
      <ns0:c r="A111" s="65"/>
      <ns0:c r="B111" s="68"/>
      <ns0:c r="C111" s="66"/>
      <ns0:c r="D111" s="68"/>
      <ns0:c r="E111" s="67"/>
      <ns0:c r="F111" s="66"/>
      <ns0:c r="G111" s="65"/>
      <ns0:c r="H111" s="79" t="n">
        <ns0:f aca="false">IFERROR(E111/F111,0)</ns0:f>
        <ns0:v>0</ns0:v>
      </ns0:c>
      <ns0:c r="I111" s="70"/>
    </ns0:row>
    <ns0:row r="112" customFormat="false" ht="15" hidden="false" customHeight="true" outlineLevel="0" collapsed="false">
      <ns0:c r="A112" s="65"/>
      <ns0:c r="B112" s="68"/>
      <ns0:c r="C112" s="66"/>
      <ns0:c r="D112" s="68"/>
      <ns0:c r="E112" s="67"/>
      <ns0:c r="F112" s="66"/>
      <ns0:c r="G112" s="65"/>
      <ns0:c r="H112" s="79" t="n">
        <ns0:f aca="false">IFERROR(E112/F112,0)</ns0:f>
        <ns0:v>0</ns0:v>
      </ns0:c>
      <ns0:c r="I112" s="70"/>
    </ns0:row>
    <ns0:row r="113" customFormat="false" ht="15" hidden="false" customHeight="true" outlineLevel="0" collapsed="false">
      <ns0:c r="A113" s="65"/>
      <ns0:c r="B113" s="68"/>
      <ns0:c r="C113" s="66"/>
      <ns0:c r="D113" s="68"/>
      <ns0:c r="E113" s="67"/>
      <ns0:c r="F113" s="66"/>
      <ns0:c r="G113" s="65"/>
      <ns0:c r="H113" s="79" t="n">
        <ns0:f aca="false">IFERROR(E113/F113,0)</ns0:f>
        <ns0:v>0</ns0:v>
      </ns0:c>
      <ns0:c r="I113" s="70"/>
    </ns0:row>
    <ns0:row r="114" customFormat="false" ht="15" hidden="false" customHeight="true" outlineLevel="0" collapsed="false">
      <ns0:c r="A114" s="65"/>
      <ns0:c r="B114" s="68"/>
      <ns0:c r="C114" s="66"/>
      <ns0:c r="D114" s="68"/>
      <ns0:c r="E114" s="67"/>
      <ns0:c r="F114" s="66"/>
      <ns0:c r="G114" s="65"/>
      <ns0:c r="H114" s="79" t="n">
        <ns0:f aca="false">IFERROR(E114/F114,0)</ns0:f>
        <ns0:v>0</ns0:v>
      </ns0:c>
      <ns0:c r="I114" s="70"/>
    </ns0:row>
    <ns0:row r="115" customFormat="false" ht="15" hidden="false" customHeight="true" outlineLevel="0" collapsed="false">
      <ns0:c r="A115" s="65"/>
      <ns0:c r="B115" s="68"/>
      <ns0:c r="C115" s="66"/>
      <ns0:c r="D115" s="68"/>
      <ns0:c r="E115" s="67"/>
      <ns0:c r="F115" s="66"/>
      <ns0:c r="G115" s="65"/>
      <ns0:c r="H115" s="79" t="n">
        <ns0:f aca="false">IFERROR(E115/F115,0)</ns0:f>
        <ns0:v>0</ns0:v>
      </ns0:c>
      <ns0:c r="I115" s="70"/>
    </ns0:row>
    <ns0:row r="116" customFormat="false" ht="15" hidden="false" customHeight="true" outlineLevel="0" collapsed="false">
      <ns0:c r="A116" s="65"/>
      <ns0:c r="B116" s="68"/>
      <ns0:c r="C116" s="66"/>
      <ns0:c r="D116" s="68"/>
      <ns0:c r="E116" s="67"/>
      <ns0:c r="F116" s="66"/>
      <ns0:c r="G116" s="65"/>
      <ns0:c r="H116" s="79" t="n">
        <ns0:f aca="false">IFERROR(E116/F116,0)</ns0:f>
        <ns0:v>0</ns0:v>
      </ns0:c>
      <ns0:c r="I116" s="70"/>
    </ns0:row>
    <ns0:row r="117" customFormat="false" ht="15" hidden="false" customHeight="true" outlineLevel="0" collapsed="false">
      <ns0:c r="A117" s="65"/>
      <ns0:c r="B117" s="68"/>
      <ns0:c r="C117" s="66"/>
      <ns0:c r="D117" s="68"/>
      <ns0:c r="E117" s="67"/>
      <ns0:c r="F117" s="66"/>
      <ns0:c r="G117" s="65"/>
      <ns0:c r="H117" s="79" t="n">
        <ns0:f aca="false">IFERROR(E117/F117,0)</ns0:f>
        <ns0:v>0</ns0:v>
      </ns0:c>
      <ns0:c r="I117" s="70"/>
    </ns0:row>
    <ns0:row r="118" customFormat="false" ht="15" hidden="false" customHeight="true" outlineLevel="0" collapsed="false">
      <ns0:c r="A118" s="65"/>
      <ns0:c r="B118" s="68"/>
      <ns0:c r="C118" s="66"/>
      <ns0:c r="D118" s="68"/>
      <ns0:c r="E118" s="67"/>
      <ns0:c r="F118" s="66"/>
      <ns0:c r="G118" s="65"/>
      <ns0:c r="H118" s="79" t="n">
        <ns0:f aca="false">IFERROR(E118/F118,0)</ns0:f>
        <ns0:v>0</ns0:v>
      </ns0:c>
      <ns0:c r="I118" s="70"/>
    </ns0:row>
    <ns0:row r="119" customFormat="false" ht="15" hidden="false" customHeight="true" outlineLevel="0" collapsed="false">
      <ns0:c r="A119" s="65"/>
      <ns0:c r="B119" s="68"/>
      <ns0:c r="C119" s="66"/>
      <ns0:c r="D119" s="68"/>
      <ns0:c r="E119" s="67"/>
      <ns0:c r="F119" s="66"/>
      <ns0:c r="G119" s="65"/>
      <ns0:c r="H119" s="79" t="n">
        <ns0:f aca="false">IFERROR(E119/F119,0)</ns0:f>
        <ns0:v>0</ns0:v>
      </ns0:c>
      <ns0:c r="I119" s="70"/>
    </ns0:row>
    <ns0:row r="120" customFormat="false" ht="15" hidden="false" customHeight="true" outlineLevel="0" collapsed="false">
      <ns0:c r="A120" s="65"/>
      <ns0:c r="B120" s="68"/>
      <ns0:c r="C120" s="66"/>
      <ns0:c r="D120" s="68"/>
      <ns0:c r="E120" s="67"/>
      <ns0:c r="F120" s="66"/>
      <ns0:c r="G120" s="65"/>
      <ns0:c r="H120" s="79" t="n">
        <ns0:f aca="false">IFERROR(E120/F120,0)</ns0:f>
        <ns0:v>0</ns0:v>
      </ns0:c>
      <ns0:c r="I120" s="70"/>
    </ns0:row>
    <ns0:row r="121" customFormat="false" ht="15" hidden="false" customHeight="true" outlineLevel="0" collapsed="false">
      <ns0:c r="A121" s="65"/>
      <ns0:c r="B121" s="68"/>
      <ns0:c r="C121" s="66"/>
      <ns0:c r="D121" s="68"/>
      <ns0:c r="E121" s="67"/>
      <ns0:c r="F121" s="66"/>
      <ns0:c r="G121" s="65"/>
      <ns0:c r="H121" s="79" t="n">
        <ns0:f aca="false">IFERROR(E121/F121,0)</ns0:f>
        <ns0:v>0</ns0:v>
      </ns0:c>
      <ns0:c r="I121" s="70"/>
    </ns0:row>
    <ns0:row r="122" customFormat="false" ht="15" hidden="false" customHeight="true" outlineLevel="0" collapsed="false">
      <ns0:c r="A122" s="65"/>
      <ns0:c r="B122" s="68"/>
      <ns0:c r="C122" s="66"/>
      <ns0:c r="D122" s="68"/>
      <ns0:c r="E122" s="67"/>
      <ns0:c r="F122" s="66"/>
      <ns0:c r="G122" s="65"/>
      <ns0:c r="H122" s="79" t="n">
        <ns0:f aca="false">IFERROR(E122/F122,0)</ns0:f>
        <ns0:v>0</ns0:v>
      </ns0:c>
      <ns0:c r="I122" s="70"/>
    </ns0:row>
    <ns0:row r="123" customFormat="false" ht="15" hidden="false" customHeight="true" outlineLevel="0" collapsed="false">
      <ns0:c r="A123" s="65"/>
      <ns0:c r="B123" s="68"/>
      <ns0:c r="C123" s="66"/>
      <ns0:c r="D123" s="68"/>
      <ns0:c r="E123" s="67"/>
      <ns0:c r="F123" s="66"/>
      <ns0:c r="G123" s="65"/>
      <ns0:c r="H123" s="79" t="n">
        <ns0:f aca="false">IFERROR(E123/F123,0)</ns0:f>
        <ns0:v>0</ns0:v>
      </ns0:c>
      <ns0:c r="I123" s="70"/>
    </ns0:row>
    <ns0:row r="124" customFormat="false" ht="15" hidden="false" customHeight="true" outlineLevel="0" collapsed="false">
      <ns0:c r="A124" s="65"/>
      <ns0:c r="B124" s="68"/>
      <ns0:c r="C124" s="66"/>
      <ns0:c r="D124" s="68"/>
      <ns0:c r="E124" s="67"/>
      <ns0:c r="F124" s="66"/>
      <ns0:c r="G124" s="65"/>
      <ns0:c r="H124" s="79" t="n">
        <ns0:f aca="false">IFERROR(E124/F124,0)</ns0:f>
        <ns0:v>0</ns0:v>
      </ns0:c>
      <ns0:c r="I124" s="70"/>
    </ns0:row>
    <ns0:row r="125" customFormat="false" ht="15" hidden="false" customHeight="true" outlineLevel="0" collapsed="false">
      <ns0:c r="A125" s="65"/>
      <ns0:c r="B125" s="68"/>
      <ns0:c r="C125" s="66"/>
      <ns0:c r="D125" s="68"/>
      <ns0:c r="E125" s="67"/>
      <ns0:c r="F125" s="66"/>
      <ns0:c r="G125" s="65"/>
      <ns0:c r="H125" s="79" t="n">
        <ns0:f aca="false">IFERROR(E125/F125,0)</ns0:f>
        <ns0:v>0</ns0:v>
      </ns0:c>
      <ns0:c r="I125" s="70"/>
    </ns0:row>
    <ns0:row r="126" customFormat="false" ht="15" hidden="false" customHeight="true" outlineLevel="0" collapsed="false">
      <ns0:c r="A126" s="65"/>
      <ns0:c r="B126" s="68"/>
      <ns0:c r="C126" s="66"/>
      <ns0:c r="D126" s="68"/>
      <ns0:c r="E126" s="67"/>
      <ns0:c r="F126" s="66"/>
      <ns0:c r="G126" s="65"/>
      <ns0:c r="H126" s="79" t="n">
        <ns0:f aca="false">IFERROR(E126/F126,0)</ns0:f>
        <ns0:v>0</ns0:v>
      </ns0:c>
      <ns0:c r="I126" s="70"/>
    </ns0:row>
    <ns0:row r="127" customFormat="false" ht="15" hidden="false" customHeight="true" outlineLevel="0" collapsed="false">
      <ns0:c r="A127" s="65"/>
      <ns0:c r="B127" s="68"/>
      <ns0:c r="C127" s="66"/>
      <ns0:c r="D127" s="68"/>
      <ns0:c r="E127" s="67"/>
      <ns0:c r="F127" s="66"/>
      <ns0:c r="G127" s="65"/>
      <ns0:c r="H127" s="79" t="n">
        <ns0:f aca="false">IFERROR(E127/F127,0)</ns0:f>
        <ns0:v>0</ns0:v>
      </ns0:c>
      <ns0:c r="I127" s="70"/>
    </ns0:row>
    <ns0:row r="128" customFormat="false" ht="15" hidden="false" customHeight="true" outlineLevel="0" collapsed="false">
      <ns0:c r="A128" s="65"/>
      <ns0:c r="B128" s="68"/>
      <ns0:c r="C128" s="66"/>
      <ns0:c r="D128" s="68"/>
      <ns0:c r="E128" s="67"/>
      <ns0:c r="F128" s="66"/>
      <ns0:c r="G128" s="65"/>
      <ns0:c r="H128" s="79" t="n">
        <ns0:f aca="false">IFERROR(E128/F128,0)</ns0:f>
        <ns0:v>0</ns0:v>
      </ns0:c>
      <ns0:c r="I128" s="70"/>
    </ns0:row>
    <ns0:row r="129" customFormat="false" ht="15" hidden="false" customHeight="true" outlineLevel="0" collapsed="false">
      <ns0:c r="A129" s="65"/>
      <ns0:c r="B129" s="68"/>
      <ns0:c r="C129" s="66"/>
      <ns0:c r="D129" s="68"/>
      <ns0:c r="E129" s="67"/>
      <ns0:c r="F129" s="66"/>
      <ns0:c r="G129" s="65"/>
      <ns0:c r="H129" s="79" t="n">
        <ns0:f aca="false">IFERROR(E129/F129,0)</ns0:f>
        <ns0:v>0</ns0:v>
      </ns0:c>
      <ns0:c r="I129" s="70"/>
    </ns0:row>
    <ns0:row r="130" customFormat="false" ht="15" hidden="false" customHeight="true" outlineLevel="0" collapsed="false">
      <ns0:c r="A130" s="65"/>
      <ns0:c r="B130" s="68"/>
      <ns0:c r="C130" s="66"/>
      <ns0:c r="D130" s="68"/>
      <ns0:c r="E130" s="67"/>
      <ns0:c r="F130" s="66"/>
      <ns0:c r="G130" s="65"/>
      <ns0:c r="H130" s="79" t="n">
        <ns0:f aca="false">IFERROR(E130/F130,0)</ns0:f>
        <ns0:v>0</ns0:v>
      </ns0:c>
      <ns0:c r="I130" s="70"/>
    </ns0:row>
    <ns0:row r="131" customFormat="false" ht="15" hidden="false" customHeight="true" outlineLevel="0" collapsed="false">
      <ns0:c r="A131" s="65"/>
      <ns0:c r="B131" s="68"/>
      <ns0:c r="C131" s="66"/>
      <ns0:c r="D131" s="68"/>
      <ns0:c r="E131" s="67"/>
      <ns0:c r="F131" s="66"/>
      <ns0:c r="G131" s="65"/>
      <ns0:c r="H131" s="79" t="n">
        <ns0:f aca="false">IFERROR(E131/F131,0)</ns0:f>
        <ns0:v>0</ns0:v>
      </ns0:c>
      <ns0:c r="I131" s="70"/>
    </ns0:row>
    <ns0:row r="132" customFormat="false" ht="15" hidden="false" customHeight="true" outlineLevel="0" collapsed="false">
      <ns0:c r="A132" s="65"/>
      <ns0:c r="B132" s="68"/>
      <ns0:c r="C132" s="66"/>
      <ns0:c r="D132" s="68"/>
      <ns0:c r="E132" s="67"/>
      <ns0:c r="F132" s="66"/>
      <ns0:c r="G132" s="65"/>
      <ns0:c r="H132" s="79" t="n">
        <ns0:f aca="false">IFERROR(E132/F132,0)</ns0:f>
        <ns0:v>0</ns0:v>
      </ns0:c>
      <ns0:c r="I132" s="70"/>
    </ns0:row>
    <ns0:row r="133" customFormat="false" ht="15" hidden="false" customHeight="true" outlineLevel="0" collapsed="false">
      <ns0:c r="A133" s="65"/>
      <ns0:c r="B133" s="68"/>
      <ns0:c r="C133" s="66"/>
      <ns0:c r="D133" s="68"/>
      <ns0:c r="E133" s="67"/>
      <ns0:c r="F133" s="66"/>
      <ns0:c r="G133" s="65"/>
      <ns0:c r="H133" s="79" t="n">
        <ns0:f aca="false">IFERROR(E133/F133,0)</ns0:f>
        <ns0:v>0</ns0:v>
      </ns0:c>
      <ns0:c r="I133" s="70"/>
    </ns0:row>
    <ns0:row r="134" customFormat="false" ht="15" hidden="false" customHeight="true" outlineLevel="0" collapsed="false">
      <ns0:c r="A134" s="65"/>
      <ns0:c r="B134" s="68"/>
      <ns0:c r="C134" s="66"/>
      <ns0:c r="D134" s="68"/>
      <ns0:c r="E134" s="67"/>
      <ns0:c r="F134" s="66"/>
      <ns0:c r="G134" s="65"/>
      <ns0:c r="H134" s="79" t="n">
        <ns0:f aca="false">IFERROR(E134/F134,0)</ns0:f>
        <ns0:v>0</ns0:v>
      </ns0:c>
      <ns0:c r="I134" s="70"/>
    </ns0:row>
    <ns0:row r="135" customFormat="false" ht="15" hidden="false" customHeight="true" outlineLevel="0" collapsed="false">
      <ns0:c r="A135" s="65"/>
      <ns0:c r="B135" s="68"/>
      <ns0:c r="C135" s="66"/>
      <ns0:c r="D135" s="68"/>
      <ns0:c r="E135" s="67"/>
      <ns0:c r="F135" s="66"/>
      <ns0:c r="G135" s="65"/>
      <ns0:c r="H135" s="79" t="n">
        <ns0:f aca="false">IFERROR(E135/F135,0)</ns0:f>
        <ns0:v>0</ns0:v>
      </ns0:c>
      <ns0:c r="I135" s="70"/>
    </ns0:row>
    <ns0:row r="136" customFormat="false" ht="15" hidden="false" customHeight="true" outlineLevel="0" collapsed="false">
      <ns0:c r="A136" s="65"/>
      <ns0:c r="B136" s="68"/>
      <ns0:c r="C136" s="66"/>
      <ns0:c r="D136" s="68"/>
      <ns0:c r="E136" s="67"/>
      <ns0:c r="F136" s="66"/>
      <ns0:c r="G136" s="65"/>
      <ns0:c r="H136" s="79" t="n">
        <ns0:f aca="false">IFERROR(E136/F136,0)</ns0:f>
        <ns0:v>0</ns0:v>
      </ns0:c>
      <ns0:c r="I136" s="70"/>
    </ns0:row>
    <ns0:row r="137" customFormat="false" ht="15" hidden="false" customHeight="true" outlineLevel="0" collapsed="false">
      <ns0:c r="A137" s="65"/>
      <ns0:c r="B137" s="68"/>
      <ns0:c r="C137" s="66"/>
      <ns0:c r="D137" s="68"/>
      <ns0:c r="E137" s="67"/>
      <ns0:c r="F137" s="66"/>
      <ns0:c r="G137" s="65"/>
      <ns0:c r="H137" s="79" t="n">
        <ns0:f aca="false">IFERROR(E137/F137,0)</ns0:f>
        <ns0:v>0</ns0:v>
      </ns0:c>
      <ns0:c r="I137" s="70"/>
    </ns0:row>
    <ns0:row r="138" customFormat="false" ht="15" hidden="false" customHeight="true" outlineLevel="0" collapsed="false">
      <ns0:c r="A138" s="65"/>
      <ns0:c r="B138" s="68"/>
      <ns0:c r="C138" s="66"/>
      <ns0:c r="D138" s="68"/>
      <ns0:c r="E138" s="67"/>
      <ns0:c r="F138" s="66"/>
      <ns0:c r="G138" s="65"/>
      <ns0:c r="H138" s="79" t="n">
        <ns0:f aca="false">IFERROR(E138/F138,0)</ns0:f>
        <ns0:v>0</ns0:v>
      </ns0:c>
      <ns0:c r="I138" s="70"/>
    </ns0:row>
    <ns0:row r="139" customFormat="false" ht="15" hidden="false" customHeight="true" outlineLevel="0" collapsed="false">
      <ns0:c r="A139" s="65"/>
      <ns0:c r="B139" s="68"/>
      <ns0:c r="C139" s="66"/>
      <ns0:c r="D139" s="68"/>
      <ns0:c r="E139" s="67"/>
      <ns0:c r="F139" s="66"/>
      <ns0:c r="G139" s="65"/>
      <ns0:c r="H139" s="79" t="n">
        <ns0:f aca="false">IFERROR(E139/F139,0)</ns0:f>
        <ns0:v>0</ns0:v>
      </ns0:c>
      <ns0:c r="I139" s="70"/>
    </ns0:row>
    <ns0:row r="140" customFormat="false" ht="15" hidden="false" customHeight="true" outlineLevel="0" collapsed="false">
      <ns0:c r="A140" s="65"/>
      <ns0:c r="B140" s="68"/>
      <ns0:c r="C140" s="66"/>
      <ns0:c r="D140" s="68"/>
      <ns0:c r="E140" s="67"/>
      <ns0:c r="F140" s="66"/>
      <ns0:c r="G140" s="65"/>
      <ns0:c r="H140" s="79" t="n">
        <ns0:f aca="false">IFERROR(E140/F140,0)</ns0:f>
        <ns0:v>0</ns0:v>
      </ns0:c>
      <ns0:c r="I140" s="70"/>
    </ns0:row>
    <ns0:row r="141" customFormat="false" ht="15" hidden="false" customHeight="true" outlineLevel="0" collapsed="false">
      <ns0:c r="A141" s="65"/>
      <ns0:c r="B141" s="68"/>
      <ns0:c r="C141" s="66"/>
      <ns0:c r="D141" s="68"/>
      <ns0:c r="E141" s="67"/>
      <ns0:c r="F141" s="66"/>
      <ns0:c r="G141" s="65"/>
      <ns0:c r="H141" s="79" t="n">
        <ns0:f aca="false">IFERROR(E141/F141,0)</ns0:f>
        <ns0:v>0</ns0:v>
      </ns0:c>
      <ns0:c r="I141" s="70"/>
    </ns0:row>
    <ns0:row r="142" customFormat="false" ht="15" hidden="false" customHeight="true" outlineLevel="0" collapsed="false">
      <ns0:c r="A142" s="65"/>
      <ns0:c r="B142" s="68"/>
      <ns0:c r="C142" s="66"/>
      <ns0:c r="D142" s="68"/>
      <ns0:c r="E142" s="67"/>
      <ns0:c r="F142" s="66"/>
      <ns0:c r="G142" s="65"/>
      <ns0:c r="H142" s="79" t="n">
        <ns0:f aca="false">IFERROR(E142/F142,0)</ns0:f>
        <ns0:v>0</ns0:v>
      </ns0:c>
      <ns0:c r="I142" s="70"/>
    </ns0:row>
    <ns0:row r="143" customFormat="false" ht="15" hidden="false" customHeight="true" outlineLevel="0" collapsed="false">
      <ns0:c r="A143" s="65"/>
      <ns0:c r="B143" s="68"/>
      <ns0:c r="C143" s="66"/>
      <ns0:c r="D143" s="68"/>
      <ns0:c r="E143" s="67"/>
      <ns0:c r="F143" s="66"/>
      <ns0:c r="G143" s="65"/>
      <ns0:c r="H143" s="79" t="n">
        <ns0:f aca="false">IFERROR(E143/F143,0)</ns0:f>
        <ns0:v>0</ns0:v>
      </ns0:c>
      <ns0:c r="I143" s="70"/>
    </ns0:row>
    <ns0:row r="144" customFormat="false" ht="15" hidden="false" customHeight="true" outlineLevel="0" collapsed="false">
      <ns0:c r="A144" s="65"/>
      <ns0:c r="B144" s="68"/>
      <ns0:c r="C144" s="66"/>
      <ns0:c r="D144" s="68"/>
      <ns0:c r="E144" s="67"/>
      <ns0:c r="F144" s="66"/>
      <ns0:c r="G144" s="65"/>
      <ns0:c r="H144" s="79" t="n">
        <ns0:f aca="false">IFERROR(E144/F144,0)</ns0:f>
        <ns0:v>0</ns0:v>
      </ns0:c>
      <ns0:c r="I144" s="70"/>
    </ns0:row>
    <ns0:row r="145" customFormat="false" ht="15" hidden="false" customHeight="true" outlineLevel="0" collapsed="false">
      <ns0:c r="A145" s="65"/>
      <ns0:c r="B145" s="68"/>
      <ns0:c r="C145" s="66"/>
      <ns0:c r="D145" s="68"/>
      <ns0:c r="E145" s="67"/>
      <ns0:c r="F145" s="66"/>
      <ns0:c r="G145" s="65"/>
      <ns0:c r="H145" s="79" t="n">
        <ns0:f aca="false">IFERROR(E145/F145,0)</ns0:f>
        <ns0:v>0</ns0:v>
      </ns0:c>
      <ns0:c r="I145" s="70"/>
    </ns0:row>
    <ns0:row r="146" customFormat="false" ht="15" hidden="false" customHeight="true" outlineLevel="0" collapsed="false">
      <ns0:c r="A146" s="65"/>
      <ns0:c r="B146" s="68"/>
      <ns0:c r="C146" s="66"/>
      <ns0:c r="D146" s="68"/>
      <ns0:c r="E146" s="67"/>
      <ns0:c r="F146" s="66"/>
      <ns0:c r="G146" s="65"/>
      <ns0:c r="H146" s="79" t="n">
        <ns0:f aca="false">IFERROR(E146/F146,0)</ns0:f>
        <ns0:v>0</ns0:v>
      </ns0:c>
      <ns0:c r="I146" s="70"/>
    </ns0:row>
    <ns0:row r="147" customFormat="false" ht="15" hidden="false" customHeight="true" outlineLevel="0" collapsed="false">
      <ns0:c r="A147" s="65"/>
      <ns0:c r="B147" s="68"/>
      <ns0:c r="C147" s="66"/>
      <ns0:c r="D147" s="68"/>
      <ns0:c r="E147" s="67"/>
      <ns0:c r="F147" s="66"/>
      <ns0:c r="G147" s="65"/>
      <ns0:c r="H147" s="79" t="n">
        <ns0:f aca="false">IFERROR(E147/F147,0)</ns0:f>
        <ns0:v>0</ns0:v>
      </ns0:c>
      <ns0:c r="I147" s="70"/>
    </ns0:row>
    <ns0:row r="148" customFormat="false" ht="15" hidden="false" customHeight="true" outlineLevel="0" collapsed="false">
      <ns0:c r="A148" s="65"/>
      <ns0:c r="B148" s="68"/>
      <ns0:c r="C148" s="66"/>
      <ns0:c r="D148" s="68"/>
      <ns0:c r="E148" s="67"/>
      <ns0:c r="F148" s="66"/>
      <ns0:c r="G148" s="65"/>
      <ns0:c r="H148" s="79" t="n">
        <ns0:f aca="false">IFERROR(E148/F148,0)</ns0:f>
        <ns0:v>0</ns0:v>
      </ns0:c>
      <ns0:c r="I148" s="70"/>
    </ns0:row>
    <ns0:row r="149" customFormat="false" ht="15" hidden="false" customHeight="true" outlineLevel="0" collapsed="false">
      <ns0:c r="A149" s="65"/>
      <ns0:c r="B149" s="68"/>
      <ns0:c r="C149" s="66"/>
      <ns0:c r="D149" s="68"/>
      <ns0:c r="E149" s="67"/>
      <ns0:c r="F149" s="66"/>
      <ns0:c r="G149" s="65"/>
      <ns0:c r="H149" s="79" t="n">
        <ns0:f aca="false">IFERROR(E149/F149,0)</ns0:f>
        <ns0:v>0</ns0:v>
      </ns0:c>
      <ns0:c r="I149" s="70"/>
    </ns0:row>
    <ns0:row r="150" customFormat="false" ht="15" hidden="false" customHeight="true" outlineLevel="0" collapsed="false">
      <ns0:c r="A150" s="65"/>
      <ns0:c r="B150" s="68"/>
      <ns0:c r="C150" s="66"/>
      <ns0:c r="D150" s="68"/>
      <ns0:c r="E150" s="67"/>
      <ns0:c r="F150" s="66"/>
      <ns0:c r="G150" s="65"/>
      <ns0:c r="H150" s="79" t="n">
        <ns0:f aca="false">IFERROR(E150/F150,0)</ns0:f>
        <ns0:v>0</ns0:v>
      </ns0:c>
      <ns0:c r="I150" s="70"/>
    </ns0:row>
    <ns0:row r="151" customFormat="false" ht="15" hidden="false" customHeight="true" outlineLevel="0" collapsed="false">
      <ns0:c r="A151" s="65"/>
      <ns0:c r="B151" s="68"/>
      <ns0:c r="C151" s="66"/>
      <ns0:c r="D151" s="68"/>
      <ns0:c r="E151" s="67"/>
      <ns0:c r="F151" s="66"/>
      <ns0:c r="G151" s="65"/>
      <ns0:c r="H151" s="79" t="n">
        <ns0:f aca="false">IFERROR(E151/F151,0)</ns0:f>
        <ns0:v>0</ns0:v>
      </ns0:c>
      <ns0:c r="I151" s="70"/>
    </ns0:row>
    <ns0:row r="152" customFormat="false" ht="15" hidden="false" customHeight="true" outlineLevel="0" collapsed="false">
      <ns0:c r="A152" s="65"/>
      <ns0:c r="B152" s="68"/>
      <ns0:c r="C152" s="66"/>
      <ns0:c r="D152" s="68"/>
      <ns0:c r="E152" s="67"/>
      <ns0:c r="F152" s="66"/>
      <ns0:c r="G152" s="65"/>
      <ns0:c r="H152" s="79" t="n">
        <ns0:f aca="false">IFERROR(E152/F152,0)</ns0:f>
        <ns0:v>0</ns0:v>
      </ns0:c>
      <ns0:c r="I152" s="70"/>
    </ns0:row>
    <ns0:row r="153" customFormat="false" ht="15" hidden="false" customHeight="true" outlineLevel="0" collapsed="false">
      <ns0:c r="A153" s="65"/>
      <ns0:c r="B153" s="68"/>
      <ns0:c r="C153" s="66"/>
      <ns0:c r="D153" s="68"/>
      <ns0:c r="E153" s="67"/>
      <ns0:c r="F153" s="66"/>
      <ns0:c r="G153" s="65"/>
      <ns0:c r="H153" s="79" t="n">
        <ns0:f aca="false">IFERROR(E153/F153,0)</ns0:f>
        <ns0:v>0</ns0:v>
      </ns0:c>
      <ns0:c r="I153" s="70"/>
    </ns0:row>
    <ns0:row r="154" customFormat="false" ht="15" hidden="false" customHeight="true" outlineLevel="0" collapsed="false">
      <ns0:c r="A154" s="65"/>
      <ns0:c r="B154" s="68"/>
      <ns0:c r="C154" s="66"/>
      <ns0:c r="D154" s="68"/>
      <ns0:c r="E154" s="67"/>
      <ns0:c r="F154" s="66"/>
      <ns0:c r="G154" s="65"/>
      <ns0:c r="H154" s="79" t="n">
        <ns0:f aca="false">IFERROR(E154/F154,0)</ns0:f>
        <ns0:v>0</ns0:v>
      </ns0:c>
      <ns0:c r="I154" s="70"/>
    </ns0:row>
    <ns0:row r="155" customFormat="false" ht="15" hidden="false" customHeight="true" outlineLevel="0" collapsed="false">
      <ns0:c r="A155" s="65"/>
      <ns0:c r="B155" s="68"/>
      <ns0:c r="C155" s="66"/>
      <ns0:c r="D155" s="68"/>
      <ns0:c r="E155" s="67"/>
      <ns0:c r="F155" s="66"/>
      <ns0:c r="G155" s="65"/>
      <ns0:c r="H155" s="79" t="n">
        <ns0:f aca="false">IFERROR(E155/F155,0)</ns0:f>
        <ns0:v>0</ns0:v>
      </ns0:c>
      <ns0:c r="I155" s="70"/>
    </ns0:row>
    <ns0:row r="156" customFormat="false" ht="15" hidden="false" customHeight="true" outlineLevel="0" collapsed="false">
      <ns0:c r="A156" s="65"/>
      <ns0:c r="B156" s="68"/>
      <ns0:c r="C156" s="66"/>
      <ns0:c r="D156" s="68"/>
      <ns0:c r="E156" s="67"/>
      <ns0:c r="F156" s="66"/>
      <ns0:c r="G156" s="65"/>
      <ns0:c r="H156" s="79" t="n">
        <ns0:f aca="false">IFERROR(E156/F156,0)</ns0:f>
        <ns0:v>0</ns0:v>
      </ns0:c>
      <ns0:c r="I156" s="70"/>
    </ns0:row>
    <ns0:row r="157" customFormat="false" ht="15" hidden="false" customHeight="true" outlineLevel="0" collapsed="false">
      <ns0:c r="A157" s="65"/>
      <ns0:c r="B157" s="68"/>
      <ns0:c r="C157" s="66"/>
      <ns0:c r="D157" s="68"/>
      <ns0:c r="E157" s="67"/>
      <ns0:c r="F157" s="66"/>
      <ns0:c r="G157" s="65"/>
      <ns0:c r="H157" s="79" t="n">
        <ns0:f aca="false">IFERROR(E157/F157,0)</ns0:f>
        <ns0:v>0</ns0:v>
      </ns0:c>
      <ns0:c r="I157" s="70"/>
    </ns0:row>
    <ns0:row r="158" customFormat="false" ht="15" hidden="false" customHeight="true" outlineLevel="0" collapsed="false">
      <ns0:c r="A158" s="65"/>
      <ns0:c r="B158" s="68"/>
      <ns0:c r="C158" s="66"/>
      <ns0:c r="D158" s="68"/>
      <ns0:c r="E158" s="67"/>
      <ns0:c r="F158" s="66"/>
      <ns0:c r="G158" s="65"/>
      <ns0:c r="H158" s="79" t="n">
        <ns0:f aca="false">IFERROR(E158/F158,0)</ns0:f>
        <ns0:v>0</ns0:v>
      </ns0:c>
      <ns0:c r="I158" s="70"/>
    </ns0:row>
    <ns0:row r="159" customFormat="false" ht="15" hidden="false" customHeight="true" outlineLevel="0" collapsed="false">
      <ns0:c r="A159" s="65"/>
      <ns0:c r="B159" s="68"/>
      <ns0:c r="C159" s="66"/>
      <ns0:c r="D159" s="68"/>
      <ns0:c r="E159" s="67"/>
      <ns0:c r="F159" s="66"/>
      <ns0:c r="G159" s="65"/>
      <ns0:c r="H159" s="79" t="n">
        <ns0:f aca="false">IFERROR(E159/F159,0)</ns0:f>
        <ns0:v>0</ns0:v>
      </ns0:c>
      <ns0:c r="I159" s="70"/>
    </ns0:row>
    <ns0:row r="160" customFormat="false" ht="15" hidden="false" customHeight="true" outlineLevel="0" collapsed="false">
      <ns0:c r="A160" s="65"/>
      <ns0:c r="B160" s="68"/>
      <ns0:c r="C160" s="66"/>
      <ns0:c r="D160" s="68"/>
      <ns0:c r="E160" s="67"/>
      <ns0:c r="F160" s="66"/>
      <ns0:c r="G160" s="65"/>
      <ns0:c r="H160" s="79" t="n">
        <ns0:f aca="false">IFERROR(E160/F160,0)</ns0:f>
        <ns0:v>0</ns0:v>
      </ns0:c>
      <ns0:c r="I160" s="70"/>
    </ns0:row>
    <ns0:row r="161" customFormat="false" ht="15" hidden="false" customHeight="true" outlineLevel="0" collapsed="false">
      <ns0:c r="A161" s="65"/>
      <ns0:c r="B161" s="68"/>
      <ns0:c r="C161" s="66"/>
      <ns0:c r="D161" s="68"/>
      <ns0:c r="E161" s="67"/>
      <ns0:c r="F161" s="66"/>
      <ns0:c r="G161" s="65"/>
      <ns0:c r="H161" s="79" t="n">
        <ns0:f aca="false">IFERROR(E161/F161,0)</ns0:f>
        <ns0:v>0</ns0:v>
      </ns0:c>
      <ns0:c r="I161" s="70"/>
    </ns0:row>
    <ns0:row r="162" customFormat="false" ht="15" hidden="false" customHeight="true" outlineLevel="0" collapsed="false">
      <ns0:c r="A162" s="65"/>
      <ns0:c r="B162" s="68"/>
      <ns0:c r="C162" s="66"/>
      <ns0:c r="D162" s="68"/>
      <ns0:c r="E162" s="67"/>
      <ns0:c r="F162" s="66"/>
      <ns0:c r="G162" s="65"/>
      <ns0:c r="H162" s="79" t="n">
        <ns0:f aca="false">IFERROR(E162/F162,0)</ns0:f>
        <ns0:v>0</ns0:v>
      </ns0:c>
      <ns0:c r="I162" s="70"/>
    </ns0:row>
    <ns0:row r="163" customFormat="false" ht="15" hidden="false" customHeight="true" outlineLevel="0" collapsed="false">
      <ns0:c r="A163" s="65"/>
      <ns0:c r="B163" s="68"/>
      <ns0:c r="C163" s="66"/>
      <ns0:c r="D163" s="68"/>
      <ns0:c r="E163" s="67"/>
      <ns0:c r="F163" s="66"/>
      <ns0:c r="G163" s="65"/>
      <ns0:c r="H163" s="79" t="n">
        <ns0:f aca="false">IFERROR(E163/F163,0)</ns0:f>
        <ns0:v>0</ns0:v>
      </ns0:c>
      <ns0:c r="I163" s="70"/>
    </ns0:row>
    <ns0:row r="164" customFormat="false" ht="15" hidden="false" customHeight="true" outlineLevel="0" collapsed="false">
      <ns0:c r="A164" s="65"/>
      <ns0:c r="B164" s="68"/>
      <ns0:c r="C164" s="66"/>
      <ns0:c r="D164" s="68"/>
      <ns0:c r="E164" s="67"/>
      <ns0:c r="F164" s="66"/>
      <ns0:c r="G164" s="65"/>
      <ns0:c r="H164" s="79" t="n">
        <ns0:f aca="false">IFERROR(E164/F164,0)</ns0:f>
        <ns0:v>0</ns0:v>
      </ns0:c>
      <ns0:c r="I164" s="70"/>
    </ns0:row>
    <ns0:row r="165" customFormat="false" ht="15" hidden="false" customHeight="true" outlineLevel="0" collapsed="false">
      <ns0:c r="A165" s="65"/>
      <ns0:c r="B165" s="68"/>
      <ns0:c r="C165" s="66"/>
      <ns0:c r="D165" s="68"/>
      <ns0:c r="E165" s="67"/>
      <ns0:c r="F165" s="66"/>
      <ns0:c r="G165" s="65"/>
      <ns0:c r="H165" s="79" t="n">
        <ns0:f aca="false">IFERROR(E165/F165,0)</ns0:f>
        <ns0:v>0</ns0:v>
      </ns0:c>
      <ns0:c r="I165" s="70"/>
    </ns0:row>
    <ns0:row r="166" customFormat="false" ht="15" hidden="false" customHeight="true" outlineLevel="0" collapsed="false">
      <ns0:c r="A166" s="65"/>
      <ns0:c r="B166" s="68"/>
      <ns0:c r="C166" s="66"/>
      <ns0:c r="D166" s="68"/>
      <ns0:c r="E166" s="67"/>
      <ns0:c r="F166" s="66"/>
      <ns0:c r="G166" s="65"/>
      <ns0:c r="H166" s="79" t="n">
        <ns0:f aca="false">IFERROR(E166/F166,0)</ns0:f>
        <ns0:v>0</ns0:v>
      </ns0:c>
      <ns0:c r="I166" s="70"/>
    </ns0:row>
    <ns0:row r="167" customFormat="false" ht="15" hidden="false" customHeight="true" outlineLevel="0" collapsed="false">
      <ns0:c r="A167" s="65"/>
      <ns0:c r="B167" s="68"/>
      <ns0:c r="C167" s="66"/>
      <ns0:c r="D167" s="68"/>
      <ns0:c r="E167" s="67"/>
      <ns0:c r="F167" s="66"/>
      <ns0:c r="G167" s="65"/>
      <ns0:c r="H167" s="79" t="n">
        <ns0:f aca="false">IFERROR(E167/F167,0)</ns0:f>
        <ns0:v>0</ns0:v>
      </ns0:c>
      <ns0:c r="I167" s="70"/>
    </ns0:row>
    <ns0:row r="168" customFormat="false" ht="15" hidden="false" customHeight="true" outlineLevel="0" collapsed="false">
      <ns0:c r="A168" s="65"/>
      <ns0:c r="B168" s="68"/>
      <ns0:c r="C168" s="66"/>
      <ns0:c r="D168" s="68"/>
      <ns0:c r="E168" s="67"/>
      <ns0:c r="F168" s="66"/>
      <ns0:c r="G168" s="65"/>
      <ns0:c r="H168" s="79" t="n">
        <ns0:f aca="false">IFERROR(E168/F168,0)</ns0:f>
        <ns0:v>0</ns0:v>
      </ns0:c>
      <ns0:c r="I168" s="70"/>
    </ns0:row>
    <ns0:row r="169" customFormat="false" ht="15" hidden="false" customHeight="true" outlineLevel="0" collapsed="false">
      <ns0:c r="A169" s="65"/>
      <ns0:c r="B169" s="68"/>
      <ns0:c r="C169" s="66"/>
      <ns0:c r="D169" s="68"/>
      <ns0:c r="E169" s="67"/>
      <ns0:c r="F169" s="66"/>
      <ns0:c r="G169" s="65"/>
      <ns0:c r="H169" s="79" t="n">
        <ns0:f aca="false">IFERROR(E169/F169,0)</ns0:f>
        <ns0:v>0</ns0:v>
      </ns0:c>
      <ns0:c r="I169" s="70"/>
    </ns0:row>
    <ns0:row r="170" customFormat="false" ht="15" hidden="false" customHeight="true" outlineLevel="0" collapsed="false">
      <ns0:c r="A170" s="65"/>
      <ns0:c r="B170" s="68"/>
      <ns0:c r="C170" s="66"/>
      <ns0:c r="D170" s="68"/>
      <ns0:c r="E170" s="67"/>
      <ns0:c r="F170" s="66"/>
      <ns0:c r="G170" s="65"/>
      <ns0:c r="H170" s="79" t="n">
        <ns0:f aca="false">IFERROR(E170/F170,0)</ns0:f>
        <ns0:v>0</ns0:v>
      </ns0:c>
      <ns0:c r="I170" s="70"/>
    </ns0:row>
    <ns0:row r="171" customFormat="false" ht="15" hidden="false" customHeight="true" outlineLevel="0" collapsed="false">
      <ns0:c r="A171" s="65"/>
      <ns0:c r="B171" s="68"/>
      <ns0:c r="C171" s="66"/>
      <ns0:c r="D171" s="68"/>
      <ns0:c r="E171" s="67"/>
      <ns0:c r="F171" s="66"/>
      <ns0:c r="G171" s="65"/>
      <ns0:c r="H171" s="79" t="n">
        <ns0:f aca="false">IFERROR(E171/F171,0)</ns0:f>
        <ns0:v>0</ns0:v>
      </ns0:c>
      <ns0:c r="I171" s="70"/>
    </ns0:row>
    <ns0:row r="172" customFormat="false" ht="15" hidden="false" customHeight="true" outlineLevel="0" collapsed="false">
      <ns0:c r="A172" s="65"/>
      <ns0:c r="B172" s="68"/>
      <ns0:c r="C172" s="66"/>
      <ns0:c r="D172" s="68"/>
      <ns0:c r="E172" s="67"/>
      <ns0:c r="F172" s="66"/>
      <ns0:c r="G172" s="65"/>
      <ns0:c r="H172" s="79" t="n">
        <ns0:f aca="false">IFERROR(E172/F172,0)</ns0:f>
        <ns0:v>0</ns0:v>
      </ns0:c>
      <ns0:c r="I172" s="70"/>
    </ns0:row>
    <ns0:row r="173" customFormat="false" ht="15" hidden="false" customHeight="true" outlineLevel="0" collapsed="false">
      <ns0:c r="A173" s="65"/>
      <ns0:c r="B173" s="68"/>
      <ns0:c r="C173" s="66"/>
      <ns0:c r="D173" s="68"/>
      <ns0:c r="E173" s="67"/>
      <ns0:c r="F173" s="66"/>
      <ns0:c r="G173" s="65"/>
      <ns0:c r="H173" s="79" t="n">
        <ns0:f aca="false">IFERROR(E173/F173,0)</ns0:f>
        <ns0:v>0</ns0:v>
      </ns0:c>
      <ns0:c r="I173" s="70"/>
    </ns0:row>
    <ns0:row r="174" customFormat="false" ht="15" hidden="false" customHeight="true" outlineLevel="0" collapsed="false">
      <ns0:c r="A174" s="65"/>
      <ns0:c r="B174" s="68"/>
      <ns0:c r="C174" s="66"/>
      <ns0:c r="D174" s="68"/>
      <ns0:c r="E174" s="67"/>
      <ns0:c r="F174" s="66"/>
      <ns0:c r="G174" s="65"/>
      <ns0:c r="H174" s="79" t="n">
        <ns0:f aca="false">IFERROR(E174/F174,0)</ns0:f>
        <ns0:v>0</ns0:v>
      </ns0:c>
      <ns0:c r="I174" s="70"/>
    </ns0:row>
    <ns0:row r="175" customFormat="false" ht="15" hidden="false" customHeight="true" outlineLevel="0" collapsed="false">
      <ns0:c r="A175" s="65"/>
      <ns0:c r="B175" s="68"/>
      <ns0:c r="C175" s="66"/>
      <ns0:c r="D175" s="68"/>
      <ns0:c r="E175" s="67"/>
      <ns0:c r="F175" s="66"/>
      <ns0:c r="G175" s="65"/>
      <ns0:c r="H175" s="79" t="n">
        <ns0:f aca="false">IFERROR(E175/F175,0)</ns0:f>
        <ns0:v>0</ns0:v>
      </ns0:c>
      <ns0:c r="I175" s="70"/>
    </ns0:row>
    <ns0:row r="176" customFormat="false" ht="15" hidden="false" customHeight="true" outlineLevel="0" collapsed="false">
      <ns0:c r="A176" s="65"/>
      <ns0:c r="B176" s="68"/>
      <ns0:c r="C176" s="66"/>
      <ns0:c r="D176" s="68"/>
      <ns0:c r="E176" s="67"/>
      <ns0:c r="F176" s="66"/>
      <ns0:c r="G176" s="65"/>
      <ns0:c r="H176" s="79" t="n">
        <ns0:f aca="false">IFERROR(E176/F176,0)</ns0:f>
        <ns0:v>0</ns0:v>
      </ns0:c>
      <ns0:c r="I176" s="70"/>
    </ns0:row>
    <ns0:row r="177" customFormat="false" ht="15" hidden="false" customHeight="true" outlineLevel="0" collapsed="false">
      <ns0:c r="A177" s="65"/>
      <ns0:c r="B177" s="68"/>
      <ns0:c r="C177" s="66"/>
      <ns0:c r="D177" s="68"/>
      <ns0:c r="E177" s="67"/>
      <ns0:c r="F177" s="66"/>
      <ns0:c r="G177" s="65"/>
      <ns0:c r="H177" s="79" t="n">
        <ns0:f aca="false">IFERROR(E177/F177,0)</ns0:f>
        <ns0:v>0</ns0:v>
      </ns0:c>
      <ns0:c r="I177" s="70"/>
    </ns0:row>
    <ns0:row r="178" customFormat="false" ht="15" hidden="false" customHeight="true" outlineLevel="0" collapsed="false">
      <ns0:c r="A178" s="65"/>
      <ns0:c r="B178" s="68"/>
      <ns0:c r="C178" s="66"/>
      <ns0:c r="D178" s="68"/>
      <ns0:c r="E178" s="67"/>
      <ns0:c r="F178" s="66"/>
      <ns0:c r="G178" s="65"/>
      <ns0:c r="H178" s="79" t="n">
        <ns0:f aca="false">IFERROR(E178/F178,0)</ns0:f>
        <ns0:v>0</ns0:v>
      </ns0:c>
      <ns0:c r="I178" s="70"/>
    </ns0:row>
    <ns0:row r="179" customFormat="false" ht="15" hidden="false" customHeight="true" outlineLevel="0" collapsed="false">
      <ns0:c r="A179" s="65"/>
      <ns0:c r="B179" s="68"/>
      <ns0:c r="C179" s="66"/>
      <ns0:c r="D179" s="68"/>
      <ns0:c r="E179" s="67"/>
      <ns0:c r="F179" s="66"/>
      <ns0:c r="G179" s="65"/>
      <ns0:c r="H179" s="79" t="n">
        <ns0:f aca="false">IFERROR(E179/F179,0)</ns0:f>
        <ns0:v>0</ns0:v>
      </ns0:c>
      <ns0:c r="I179" s="70"/>
    </ns0:row>
    <ns0:row r="180" customFormat="false" ht="15" hidden="false" customHeight="true" outlineLevel="0" collapsed="false">
      <ns0:c r="A180" s="65"/>
      <ns0:c r="B180" s="68"/>
      <ns0:c r="C180" s="66"/>
      <ns0:c r="D180" s="68"/>
      <ns0:c r="E180" s="67"/>
      <ns0:c r="F180" s="66"/>
      <ns0:c r="G180" s="65"/>
      <ns0:c r="H180" s="79" t="n">
        <ns0:f aca="false">IFERROR(E180/F180,0)</ns0:f>
        <ns0:v>0</ns0:v>
      </ns0:c>
      <ns0:c r="I180" s="70"/>
    </ns0:row>
    <ns0:row r="181" customFormat="false" ht="15" hidden="false" customHeight="true" outlineLevel="0" collapsed="false">
      <ns0:c r="A181" s="65"/>
      <ns0:c r="B181" s="68"/>
      <ns0:c r="C181" s="66"/>
      <ns0:c r="D181" s="68"/>
      <ns0:c r="E181" s="67"/>
      <ns0:c r="F181" s="66"/>
      <ns0:c r="G181" s="65"/>
      <ns0:c r="H181" s="79" t="n">
        <ns0:f aca="false">IFERROR(E181/F181,0)</ns0:f>
        <ns0:v>0</ns0:v>
      </ns0:c>
      <ns0:c r="I181" s="70"/>
    </ns0:row>
    <ns0:row r="182" customFormat="false" ht="15" hidden="false" customHeight="true" outlineLevel="0" collapsed="false">
      <ns0:c r="A182" s="65"/>
      <ns0:c r="B182" s="68"/>
      <ns0:c r="C182" s="66"/>
      <ns0:c r="D182" s="68"/>
      <ns0:c r="E182" s="67"/>
      <ns0:c r="F182" s="66"/>
      <ns0:c r="G182" s="65"/>
      <ns0:c r="H182" s="79" t="n">
        <ns0:f aca="false">IFERROR(E182/F182,0)</ns0:f>
        <ns0:v>0</ns0:v>
      </ns0:c>
      <ns0:c r="I182" s="70"/>
    </ns0:row>
    <ns0:row r="183" customFormat="false" ht="15" hidden="false" customHeight="true" outlineLevel="0" collapsed="false">
      <ns0:c r="A183" s="65"/>
      <ns0:c r="B183" s="68"/>
      <ns0:c r="C183" s="66"/>
      <ns0:c r="D183" s="68"/>
      <ns0:c r="E183" s="67"/>
      <ns0:c r="F183" s="66"/>
      <ns0:c r="G183" s="65"/>
      <ns0:c r="H183" s="79" t="n">
        <ns0:f aca="false">IFERROR(E183/F183,0)</ns0:f>
        <ns0:v>0</ns0:v>
      </ns0:c>
      <ns0:c r="I183" s="70"/>
    </ns0:row>
    <ns0:row r="184" customFormat="false" ht="15" hidden="false" customHeight="true" outlineLevel="0" collapsed="false">
      <ns0:c r="A184" s="65"/>
      <ns0:c r="B184" s="68"/>
      <ns0:c r="C184" s="66"/>
      <ns0:c r="D184" s="68"/>
      <ns0:c r="E184" s="67"/>
      <ns0:c r="F184" s="66"/>
      <ns0:c r="G184" s="65"/>
      <ns0:c r="H184" s="79" t="n">
        <ns0:f aca="false">IFERROR(E184/F184,0)</ns0:f>
        <ns0:v>0</ns0:v>
      </ns0:c>
      <ns0:c r="I184" s="70"/>
    </ns0:row>
    <ns0:row r="185" customFormat="false" ht="15" hidden="false" customHeight="true" outlineLevel="0" collapsed="false">
      <ns0:c r="A185" s="65"/>
      <ns0:c r="B185" s="68"/>
      <ns0:c r="C185" s="66"/>
      <ns0:c r="D185" s="68"/>
      <ns0:c r="E185" s="67"/>
      <ns0:c r="F185" s="66"/>
      <ns0:c r="G185" s="65"/>
      <ns0:c r="H185" s="79" t="n">
        <ns0:f aca="false">IFERROR(E185/F185,0)</ns0:f>
        <ns0:v>0</ns0:v>
      </ns0:c>
      <ns0:c r="I185" s="70"/>
    </ns0:row>
    <ns0:row r="186" customFormat="false" ht="15" hidden="false" customHeight="true" outlineLevel="0" collapsed="false">
      <ns0:c r="A186" s="65"/>
      <ns0:c r="B186" s="68"/>
      <ns0:c r="C186" s="66"/>
      <ns0:c r="D186" s="68"/>
      <ns0:c r="E186" s="67"/>
      <ns0:c r="F186" s="66"/>
      <ns0:c r="G186" s="65"/>
      <ns0:c r="H186" s="79" t="n">
        <ns0:f aca="false">IFERROR(E186/F186,0)</ns0:f>
        <ns0:v>0</ns0:v>
      </ns0:c>
      <ns0:c r="I186" s="70"/>
    </ns0:row>
    <ns0:row r="187" customFormat="false" ht="15" hidden="false" customHeight="true" outlineLevel="0" collapsed="false">
      <ns0:c r="A187" s="65"/>
      <ns0:c r="B187" s="68"/>
      <ns0:c r="C187" s="66"/>
      <ns0:c r="D187" s="68"/>
      <ns0:c r="E187" s="67"/>
      <ns0:c r="F187" s="66"/>
      <ns0:c r="G187" s="65"/>
      <ns0:c r="H187" s="79" t="n">
        <ns0:f aca="false">IFERROR(E187/F187,0)</ns0:f>
        <ns0:v>0</ns0:v>
      </ns0:c>
      <ns0:c r="I187" s="70"/>
    </ns0:row>
    <ns0:row r="188" customFormat="false" ht="15" hidden="false" customHeight="true" outlineLevel="0" collapsed="false">
      <ns0:c r="A188" s="65"/>
      <ns0:c r="B188" s="68"/>
      <ns0:c r="C188" s="66"/>
      <ns0:c r="D188" s="68"/>
      <ns0:c r="E188" s="67"/>
      <ns0:c r="F188" s="66"/>
      <ns0:c r="G188" s="65"/>
      <ns0:c r="H188" s="79" t="n">
        <ns0:f aca="false">IFERROR(E188/F188,0)</ns0:f>
        <ns0:v>0</ns0:v>
      </ns0:c>
      <ns0:c r="I188" s="70"/>
    </ns0:row>
    <ns0:row r="189" customFormat="false" ht="15" hidden="false" customHeight="true" outlineLevel="0" collapsed="false">
      <ns0:c r="A189" s="65"/>
      <ns0:c r="B189" s="68"/>
      <ns0:c r="C189" s="66"/>
      <ns0:c r="D189" s="68"/>
      <ns0:c r="E189" s="67"/>
      <ns0:c r="F189" s="66"/>
      <ns0:c r="G189" s="65"/>
      <ns0:c r="H189" s="79" t="n">
        <ns0:f aca="false">IFERROR(E189/F189,0)</ns0:f>
        <ns0:v>0</ns0:v>
      </ns0:c>
      <ns0:c r="I189" s="70"/>
    </ns0:row>
    <ns0:row r="190" customFormat="false" ht="15" hidden="false" customHeight="true" outlineLevel="0" collapsed="false">
      <ns0:c r="A190" s="65"/>
      <ns0:c r="B190" s="68"/>
      <ns0:c r="C190" s="66"/>
      <ns0:c r="D190" s="68"/>
      <ns0:c r="E190" s="67"/>
      <ns0:c r="F190" s="66"/>
      <ns0:c r="G190" s="65"/>
      <ns0:c r="H190" s="79" t="n">
        <ns0:f aca="false">IFERROR(E190/F190,0)</ns0:f>
        <ns0:v>0</ns0:v>
      </ns0:c>
      <ns0:c r="I190" s="70"/>
    </ns0:row>
    <ns0:row r="191" customFormat="false" ht="15" hidden="false" customHeight="true" outlineLevel="0" collapsed="false">
      <ns0:c r="A191" s="65"/>
      <ns0:c r="B191" s="68"/>
      <ns0:c r="C191" s="66"/>
      <ns0:c r="D191" s="68"/>
      <ns0:c r="E191" s="67"/>
      <ns0:c r="F191" s="66"/>
      <ns0:c r="G191" s="65"/>
      <ns0:c r="H191" s="79" t="n">
        <ns0:f aca="false">IFERROR(E191/F191,0)</ns0:f>
        <ns0:v>0</ns0:v>
      </ns0:c>
      <ns0:c r="I191" s="70"/>
    </ns0:row>
    <ns0:row r="192" customFormat="false" ht="15" hidden="false" customHeight="true" outlineLevel="0" collapsed="false">
      <ns0:c r="A192" s="65"/>
      <ns0:c r="B192" s="68"/>
      <ns0:c r="C192" s="66"/>
      <ns0:c r="D192" s="68"/>
      <ns0:c r="E192" s="67"/>
      <ns0:c r="F192" s="66"/>
      <ns0:c r="G192" s="65"/>
      <ns0:c r="H192" s="79" t="n">
        <ns0:f aca="false">IFERROR(E192/F192,0)</ns0:f>
        <ns0:v>0</ns0:v>
      </ns0:c>
      <ns0:c r="I192" s="70"/>
    </ns0:row>
    <ns0:row r="193" customFormat="false" ht="15" hidden="false" customHeight="true" outlineLevel="0" collapsed="false">
      <ns0:c r="A193" s="65"/>
      <ns0:c r="B193" s="68"/>
      <ns0:c r="C193" s="66"/>
      <ns0:c r="D193" s="68"/>
      <ns0:c r="E193" s="67"/>
      <ns0:c r="F193" s="66"/>
      <ns0:c r="G193" s="65"/>
      <ns0:c r="H193" s="79" t="n">
        <ns0:f aca="false">IFERROR(E193/F193,0)</ns0:f>
        <ns0:v>0</ns0:v>
      </ns0:c>
      <ns0:c r="I193" s="70"/>
    </ns0:row>
    <ns0:row r="194" customFormat="false" ht="15" hidden="false" customHeight="true" outlineLevel="0" collapsed="false">
      <ns0:c r="A194" s="65"/>
      <ns0:c r="B194" s="68"/>
      <ns0:c r="C194" s="66"/>
      <ns0:c r="D194" s="68"/>
      <ns0:c r="E194" s="67"/>
      <ns0:c r="F194" s="66"/>
      <ns0:c r="G194" s="65"/>
      <ns0:c r="H194" s="79" t="n">
        <ns0:f aca="false">IFERROR(E194/F194,0)</ns0:f>
        <ns0:v>0</ns0:v>
      </ns0:c>
      <ns0:c r="I194" s="70"/>
    </ns0:row>
    <ns0:row r="195" customFormat="false" ht="15" hidden="false" customHeight="true" outlineLevel="0" collapsed="false">
      <ns0:c r="A195" s="65"/>
      <ns0:c r="B195" s="68"/>
      <ns0:c r="C195" s="66"/>
      <ns0:c r="D195" s="68"/>
      <ns0:c r="E195" s="67"/>
      <ns0:c r="F195" s="66"/>
      <ns0:c r="G195" s="65"/>
      <ns0:c r="H195" s="79" t="n">
        <ns0:f aca="false">IFERROR(E195/F195,0)</ns0:f>
        <ns0:v>0</ns0:v>
      </ns0:c>
      <ns0:c r="I195" s="70"/>
    </ns0:row>
    <ns0:row r="196" customFormat="false" ht="15" hidden="false" customHeight="true" outlineLevel="0" collapsed="false">
      <ns0:c r="A196" s="65"/>
      <ns0:c r="B196" s="68"/>
      <ns0:c r="C196" s="66"/>
      <ns0:c r="D196" s="68"/>
      <ns0:c r="E196" s="67"/>
      <ns0:c r="F196" s="66"/>
      <ns0:c r="G196" s="65"/>
      <ns0:c r="H196" s="79" t="n">
        <ns0:f aca="false">IFERROR(E196/F196,0)</ns0:f>
        <ns0:v>0</ns0:v>
      </ns0:c>
      <ns0:c r="I196" s="70"/>
    </ns0:row>
    <ns0:row r="197" customFormat="false" ht="15" hidden="false" customHeight="true" outlineLevel="0" collapsed="false">
      <ns0:c r="A197" s="65"/>
      <ns0:c r="B197" s="68"/>
      <ns0:c r="C197" s="66"/>
      <ns0:c r="D197" s="68"/>
      <ns0:c r="E197" s="67"/>
      <ns0:c r="F197" s="66"/>
      <ns0:c r="G197" s="65"/>
      <ns0:c r="H197" s="79" t="n">
        <ns0:f aca="false">IFERROR(E197/F197,0)</ns0:f>
        <ns0:v>0</ns0:v>
      </ns0:c>
      <ns0:c r="I197" s="70"/>
    </ns0:row>
    <ns0:row r="198" customFormat="false" ht="15" hidden="false" customHeight="true" outlineLevel="0" collapsed="false">
      <ns0:c r="A198" s="65"/>
      <ns0:c r="B198" s="68"/>
      <ns0:c r="C198" s="66"/>
      <ns0:c r="D198" s="68"/>
      <ns0:c r="E198" s="67"/>
      <ns0:c r="F198" s="66"/>
      <ns0:c r="G198" s="65"/>
      <ns0:c r="H198" s="79" t="n">
        <ns0:f aca="false">IFERROR(E198/F198,0)</ns0:f>
        <ns0:v>0</ns0:v>
      </ns0:c>
      <ns0:c r="I198" s="70"/>
    </ns0:row>
    <ns0:row r="199" customFormat="false" ht="15" hidden="false" customHeight="true" outlineLevel="0" collapsed="false">
      <ns0:c r="A199" s="65"/>
      <ns0:c r="B199" s="68"/>
      <ns0:c r="C199" s="66"/>
      <ns0:c r="D199" s="68"/>
      <ns0:c r="E199" s="67"/>
      <ns0:c r="F199" s="66"/>
      <ns0:c r="G199" s="65"/>
      <ns0:c r="H199" s="79" t="n">
        <ns0:f aca="false">IFERROR(E199/F199,0)</ns0:f>
        <ns0:v>0</ns0:v>
      </ns0:c>
      <ns0:c r="I199" s="70"/>
    </ns0:row>
    <ns0:row r="200" customFormat="false" ht="15" hidden="false" customHeight="true" outlineLevel="0" collapsed="false">
      <ns0:c r="A200" s="65"/>
      <ns0:c r="B200" s="68"/>
      <ns0:c r="C200" s="66"/>
      <ns0:c r="D200" s="68"/>
      <ns0:c r="E200" s="67"/>
      <ns0:c r="F200" s="66"/>
      <ns0:c r="G200" s="65"/>
      <ns0:c r="H200" s="79" t="n">
        <ns0:f aca="false">IFERROR(E200/F200,0)</ns0:f>
        <ns0:v>0</ns0:v>
      </ns0:c>
      <ns0:c r="I200" s="70"/>
    </ns0:row>
    <ns0:row r="201" customFormat="false" ht="15" hidden="false" customHeight="true" outlineLevel="0" collapsed="false">
      <ns0:c r="A201" s="65"/>
      <ns0:c r="B201" s="68"/>
      <ns0:c r="C201" s="66"/>
      <ns0:c r="D201" s="68"/>
      <ns0:c r="E201" s="67"/>
      <ns0:c r="F201" s="66"/>
      <ns0:c r="G201" s="65"/>
      <ns0:c r="H201" s="79" t="n">
        <ns0:f aca="false">IFERROR(E201/F201,0)</ns0:f>
        <ns0:v>0</ns0:v>
      </ns0:c>
      <ns0:c r="I201" s="70"/>
    </ns0:row>
    <ns0:row r="202" customFormat="false" ht="15" hidden="false" customHeight="true" outlineLevel="0" collapsed="false">
      <ns0:c r="A202" s="65"/>
      <ns0:c r="B202" s="68"/>
      <ns0:c r="C202" s="66"/>
      <ns0:c r="D202" s="68"/>
      <ns0:c r="E202" s="67"/>
      <ns0:c r="F202" s="66"/>
      <ns0:c r="G202" s="65"/>
      <ns0:c r="H202" s="79" t="n">
        <ns0:f aca="false">IFERROR(E202/F202,0)</ns0:f>
        <ns0:v>0</ns0:v>
      </ns0:c>
      <ns0:c r="I202" s="70"/>
    </ns0:row>
    <ns0:row r="203" customFormat="false" ht="15" hidden="false" customHeight="true" outlineLevel="0" collapsed="false">
      <ns0:c r="A203" s="65"/>
      <ns0:c r="B203" s="68"/>
      <ns0:c r="C203" s="66"/>
      <ns0:c r="D203" s="68"/>
      <ns0:c r="E203" s="67"/>
      <ns0:c r="F203" s="66"/>
      <ns0:c r="G203" s="65"/>
      <ns0:c r="H203" s="79" t="n">
        <ns0:f aca="false">IFERROR(E203/F203,0)</ns0:f>
        <ns0:v>0</ns0:v>
      </ns0:c>
      <ns0:c r="I203" s="70"/>
    </ns0:row>
    <ns0:row r="204" customFormat="false" ht="15" hidden="false" customHeight="true" outlineLevel="0" collapsed="false">
      <ns0:c r="A204" s="69"/>
      <ns0:c r="B204" s="70"/>
      <ns0:c r="C204" s="70"/>
      <ns0:c r="D204" s="70"/>
      <ns0:c r="E204" s="71"/>
      <ns0:c r="F204" s="70"/>
      <ns0:c r="G204" s="69"/>
      <ns0:c r="H204" s="79" t="n">
        <ns0:f aca="false">IFERROR(E204/F204,0)</ns0:f>
        <ns0:v>0</ns0:v>
      </ns0:c>
      <ns0:c r="I204" s="70"/>
    </ns0:row>
  </ns0:sheetData>
  <ns0:sheetProtection sheet="true" selectLockedCells="true" selectUnlockedCells="true"/>
  <ns0:autoFilter ref="A4:I204"/>
  <ns0:mergeCells count="2">
    <ns0:mergeCell ref="A1:H1"/>
    <ns0:mergeCell ref="A2:H2"/>
  </ns0:mergeCells>
  <ns0:dataValidations count="4">
    <ns0:dataValidation allowBlank="true" errorStyle="stop" operator="between" showDropDown="false" showErrorMessage="false" showInputMessage="false" sqref="B4" type="list">
      <ns0:formula1>Configurações!$D$4:$D$6</ns0:formula1>
      <ns0:formula2>0</ns0:formula2>
    </ns0:dataValidation>
    <ns0:dataValidation allowBlank="true" errorStyle="stop" operator="between" showDropDown="false" showErrorMessage="false" showInputMessage="false" sqref="D4" type="list">
      <ns0:formula1>Configurações!$B$4:$B$13</ns0:formula1>
      <ns0:formula2>0</ns0:formula2>
    </ns0:dataValidation>
    <ns0:dataValidation allowBlank="true" errorStyle="stop" operator="between" showDropDown="false" showErrorMessage="false" showInputMessage="false" sqref="B5:B204" type="list">
      <ns0:formula1>Configurações!$D$5:$D$14</ns0:formula1>
      <ns0:formula2>0</ns0:formula2>
    </ns0:dataValidation>
    <ns0:dataValidation allowBlank="true" errorStyle="stop" operator="between" showDropDown="false" showErrorMessage="false" showInputMessage="false" sqref="D5:D204" type="list">
      <ns0:formula1>Configurações!$B$5:$B$14</ns0:formula1>
      <ns0:formula2>0</ns0:formula2>
    </ns0:dataValidation>
  </ns0:dataValidations>
  <ns0:hyperlinks>
    <ns0:hyperlink ref="A2" location="'COMECE%20AQUI'!A1" display="← Comece aqui"/>
  </ns0:hyperlinks>
  <ns0:printOptions headings="false" gridLines="false" gridLinesSet="true" horizontalCentered="false" verticalCentered="false"/>
  <ns0:pageMargins left="0.75" right="0.75" top="1" bottom="1" header="0.511811023622047" footer="0.511811023622047"/>
  <ns0:pageSetup paperSize="1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  <ns0:drawing ns1:id="rId2"/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 filterMode="false">
    <ns0:pageSetUpPr fitToPage="true"/>
  </ns0:sheetPr>
  <ns0:dimension ref="A1:H53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4" topLeftCell="A5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true" zeroHeight="false" outlineLevelRow="0" outlineLevelCol="0"/>
  <ns0:cols>
    <ns0:col collapsed="false" customWidth="true" hidden="false" outlineLevel="0" max="1" min="1" style="24" width="22"/>
    <ns0:col collapsed="false" customWidth="true" hidden="false" outlineLevel="0" max="2" min="2" style="24" width="30"/>
    <ns0:col collapsed="false" customWidth="true" hidden="false" outlineLevel="0" max="5" min="3" style="24" width="17"/>
    <ns0:col collapsed="false" customWidth="true" hidden="false" outlineLevel="0" max="6" min="6" style="24" width="18"/>
  </ns0:cols>
  <ns0:sheetData>
    <ns0:row r="1" customFormat="false" ht="37.5" hidden="false" customHeight="true" outlineLevel="0" collapsed="false">
      <ns0:c r="A1" s="51" t="s">
        <ns0:v>106</ns0:v>
      </ns0:c>
      <ns0:c r="B1" s="51"/>
      <ns0:c r="C1" s="51"/>
      <ns0:c r="D1" s="51"/>
      <ns0:c r="E1" s="51"/>
      <ns0:c r="F1" s="51"/>
      <ns0:c r="G1" s="51"/>
      <ns0:c r="H1" s="51"/>
    </ns0:row>
    <ns0:row r="2" customFormat="false" ht="14.25" hidden="false" customHeight="true" outlineLevel="0" collapsed="false">
      <ns0:c r="A2" s="52" t="s">
        <ns0:v>51</ns0:v>
      </ns0:c>
      <ns0:c r="B2" s="52"/>
      <ns0:c r="C2" s="52"/>
      <ns0:c r="D2" s="52"/>
      <ns0:c r="E2" s="52"/>
      <ns0:c r="F2" s="52"/>
      <ns0:c r="G2" s="52"/>
      <ns0:c r="H2" s="52"/>
    </ns0:row>
    <ns0:row r="3" customFormat="false" ht="15" hidden="false" customHeight="true" outlineLevel="0" collapsed="false">
      <ns0:c r="A3" s="72"/>
      <ns0:c r="B3" s="72"/>
      <ns0:c r="C3" s="72"/>
      <ns0:c r="D3" s="72"/>
      <ns0:c r="E3" s="72"/>
    </ns0:row>
    <ns0:row r="4" customFormat="false" ht="15" hidden="false" customHeight="true" outlineLevel="0" collapsed="false">
      <ns0:c r="A4" s="77" t="s">
        <ns0:v>87</ns0:v>
      </ns0:c>
      <ns0:c r="B4" s="77" t="s">
        <ns0:v>89</ns0:v>
      </ns0:c>
      <ns0:c r="C4" s="76" t="s">
        <ns0:v>107</ns0:v>
      </ns0:c>
      <ns0:c r="D4" s="76" t="s">
        <ns0:v>108</ns0:v>
      </ns0:c>
      <ns0:c r="E4" s="76" t="s">
        <ns0:v>109</ns0:v>
      </ns0:c>
      <ns0:c r="F4" s="54" t="s">
        <ns0:v>110</ns0:v>
      </ns0:c>
    </ns0:row>
    <ns0:row r="5" customFormat="false" ht="15" hidden="false" customHeight="true" outlineLevel="0" collapsed="false">
      <ns0:c r="A5" s="80"/>
      <ns0:c r="B5" s="80"/>
      <ns0:c r="C5" s="81"/>
      <ns0:c r="D5" s="78" t="n">
        <ns0:f aca="false">SUMIFS(Lançamentos!$F$5:$F$504,Lançamentos!$E$5:$E$504,$A5,Lançamentos!$B$5:$B$504,"Receita")</ns0:f>
        <ns0:v>0</ns0:v>
      </ns0:c>
      <ns0:c r="E5" s="78" t="n">
        <ns0:f aca="false">SUMIFS(Lançamentos!$F$5:$F$504,Lançamentos!$E$5:$E$504,$A5,Lançamentos!$B$5:$B$504,"Despesa")</ns0:f>
        <ns0:v>0</ns0:v>
      </ns0:c>
      <ns0:c r="F5" s="79" t="n">
        <ns0:f aca="false">C5+D5-E5</ns0:f>
        <ns0:v>0</ns0:v>
      </ns0:c>
    </ns0:row>
    <ns0:row r="6" customFormat="false" ht="15" hidden="false" customHeight="true" outlineLevel="0" collapsed="false">
      <ns0:c r="A6" s="80"/>
      <ns0:c r="B6" s="80"/>
      <ns0:c r="C6" s="81"/>
      <ns0:c r="D6" s="78" t="n">
        <ns0:f aca="false">SUMIFS(Lançamentos!$F$5:$F$504,Lançamentos!$E$5:$E$504,$A6,Lançamentos!$B$5:$B$504,"Receita")</ns0:f>
        <ns0:v>0</ns0:v>
      </ns0:c>
      <ns0:c r="E6" s="78" t="n">
        <ns0:f aca="false">SUMIFS(Lançamentos!$F$5:$F$504,Lançamentos!$E$5:$E$504,$A6,Lançamentos!$B$5:$B$504,"Despesa")</ns0:f>
        <ns0:v>0</ns0:v>
      </ns0:c>
      <ns0:c r="F6" s="79" t="n">
        <ns0:f aca="false">C6+D6-E6</ns0:f>
        <ns0:v>0</ns0:v>
      </ns0:c>
    </ns0:row>
    <ns0:row r="7" customFormat="false" ht="15" hidden="false" customHeight="true" outlineLevel="0" collapsed="false">
      <ns0:c r="A7" s="70"/>
      <ns0:c r="B7" s="70"/>
      <ns0:c r="C7" s="71"/>
      <ns0:c r="D7" s="78" t="n">
        <ns0:f aca="false">SUMIFS(Lançamentos!$F$5:$F$504,Lançamentos!$E$5:$E$504,$A7,Lançamentos!$B$5:$B$504,"Receita")</ns0:f>
        <ns0:v>0</ns0:v>
      </ns0:c>
      <ns0:c r="E7" s="78" t="n">
        <ns0:f aca="false">SUMIFS(Lançamentos!$F$5:$F$504,Lançamentos!$E$5:$E$504,$A7,Lançamentos!$B$5:$B$504,"Despesa")</ns0:f>
        <ns0:v>0</ns0:v>
      </ns0:c>
      <ns0:c r="F7" s="79" t="n">
        <ns0:f aca="false">C7+D7-E7</ns0:f>
        <ns0:v>0</ns0:v>
      </ns0:c>
    </ns0:row>
    <ns0:row r="8" customFormat="false" ht="15" hidden="false" customHeight="true" outlineLevel="0" collapsed="false">
      <ns0:c r="A8" s="70"/>
      <ns0:c r="B8" s="70"/>
      <ns0:c r="C8" s="71"/>
      <ns0:c r="D8" s="78" t="n">
        <ns0:f aca="false">SUMIFS(Lançamentos!$F$5:$F$504,Lançamentos!$E$5:$E$504,$A8,Lançamentos!$B$5:$B$504,"Receita")</ns0:f>
        <ns0:v>0</ns0:v>
      </ns0:c>
      <ns0:c r="E8" s="78" t="n">
        <ns0:f aca="false">SUMIFS(Lançamentos!$F$5:$F$504,Lançamentos!$E$5:$E$504,$A8,Lançamentos!$B$5:$B$504,"Despesa")</ns0:f>
        <ns0:v>0</ns0:v>
      </ns0:c>
      <ns0:c r="F8" s="79" t="n">
        <ns0:f aca="false">C8+D8-E8</ns0:f>
        <ns0:v>0</ns0:v>
      </ns0:c>
    </ns0:row>
    <ns0:row r="9" customFormat="false" ht="15" hidden="false" customHeight="true" outlineLevel="0" collapsed="false">
      <ns0:c r="A9" s="70"/>
      <ns0:c r="B9" s="70"/>
      <ns0:c r="C9" s="71"/>
      <ns0:c r="D9" s="78" t="n">
        <ns0:f aca="false">SUMIFS(Lançamentos!$F$5:$F$504,Lançamentos!$E$5:$E$504,$A9,Lançamentos!$B$5:$B$504,"Receita")</ns0:f>
        <ns0:v>0</ns0:v>
      </ns0:c>
      <ns0:c r="E9" s="78" t="n">
        <ns0:f aca="false">SUMIFS(Lançamentos!$F$5:$F$504,Lançamentos!$E$5:$E$504,$A9,Lançamentos!$B$5:$B$504,"Despesa")</ns0:f>
        <ns0:v>0</ns0:v>
      </ns0:c>
      <ns0:c r="F9" s="79" t="n">
        <ns0:f aca="false">C9+D9-E9</ns0:f>
        <ns0:v>0</ns0:v>
      </ns0:c>
    </ns0:row>
    <ns0:row r="10" customFormat="false" ht="15" hidden="false" customHeight="true" outlineLevel="0" collapsed="false">
      <ns0:c r="A10" s="70"/>
      <ns0:c r="B10" s="70"/>
      <ns0:c r="C10" s="71"/>
      <ns0:c r="D10" s="78" t="n">
        <ns0:f aca="false">SUMIFS(Lançamentos!$F$5:$F$504,Lançamentos!$E$5:$E$504,$A10,Lançamentos!$B$5:$B$504,"Receita")</ns0:f>
        <ns0:v>0</ns0:v>
      </ns0:c>
      <ns0:c r="E10" s="78" t="n">
        <ns0:f aca="false">SUMIFS(Lançamentos!$F$5:$F$504,Lançamentos!$E$5:$E$504,$A10,Lançamentos!$B$5:$B$504,"Despesa")</ns0:f>
        <ns0:v>0</ns0:v>
      </ns0:c>
      <ns0:c r="F10" s="79" t="n">
        <ns0:f aca="false">C10+D10-E10</ns0:f>
        <ns0:v>0</ns0:v>
      </ns0:c>
    </ns0:row>
    <ns0:row r="11" customFormat="false" ht="15" hidden="false" customHeight="true" outlineLevel="0" collapsed="false">
      <ns0:c r="A11" s="70"/>
      <ns0:c r="B11" s="70"/>
      <ns0:c r="C11" s="71"/>
      <ns0:c r="D11" s="78" t="n">
        <ns0:f aca="false">SUMIFS(Lançamentos!$F$5:$F$504,Lançamentos!$E$5:$E$504,$A11,Lançamentos!$B$5:$B$504,"Receita")</ns0:f>
        <ns0:v>0</ns0:v>
      </ns0:c>
      <ns0:c r="E11" s="78" t="n">
        <ns0:f aca="false">SUMIFS(Lançamentos!$F$5:$F$504,Lançamentos!$E$5:$E$504,$A11,Lançamentos!$B$5:$B$504,"Despesa")</ns0:f>
        <ns0:v>0</ns0:v>
      </ns0:c>
      <ns0:c r="F11" s="79" t="n">
        <ns0:f aca="false">C11+D11-E11</ns0:f>
        <ns0:v>0</ns0:v>
      </ns0:c>
    </ns0:row>
    <ns0:row r="12" customFormat="false" ht="15" hidden="false" customHeight="true" outlineLevel="0" collapsed="false">
      <ns0:c r="A12" s="70"/>
      <ns0:c r="B12" s="70"/>
      <ns0:c r="C12" s="71"/>
      <ns0:c r="D12" s="78" t="n">
        <ns0:f aca="false">SUMIFS(Lançamentos!$F$5:$F$504,Lançamentos!$E$5:$E$504,$A12,Lançamentos!$B$5:$B$504,"Receita")</ns0:f>
        <ns0:v>0</ns0:v>
      </ns0:c>
      <ns0:c r="E12" s="78" t="n">
        <ns0:f aca="false">SUMIFS(Lançamentos!$F$5:$F$504,Lançamentos!$E$5:$E$504,$A12,Lançamentos!$B$5:$B$504,"Despesa")</ns0:f>
        <ns0:v>0</ns0:v>
      </ns0:c>
      <ns0:c r="F12" s="79" t="n">
        <ns0:f aca="false">C12+D12-E12</ns0:f>
        <ns0:v>0</ns0:v>
      </ns0:c>
    </ns0:row>
    <ns0:row r="13" customFormat="false" ht="15" hidden="false" customHeight="true" outlineLevel="0" collapsed="false">
      <ns0:c r="A13" s="70"/>
      <ns0:c r="B13" s="70"/>
      <ns0:c r="C13" s="71"/>
      <ns0:c r="D13" s="78" t="n">
        <ns0:f aca="false">SUMIFS(Lançamentos!$F$5:$F$504,Lançamentos!$E$5:$E$504,$A13,Lançamentos!$B$5:$B$504,"Receita")</ns0:f>
        <ns0:v>0</ns0:v>
      </ns0:c>
      <ns0:c r="E13" s="78" t="n">
        <ns0:f aca="false">SUMIFS(Lançamentos!$F$5:$F$504,Lançamentos!$E$5:$E$504,$A13,Lançamentos!$B$5:$B$504,"Despesa")</ns0:f>
        <ns0:v>0</ns0:v>
      </ns0:c>
      <ns0:c r="F13" s="79" t="n">
        <ns0:f aca="false">C13+D13-E13</ns0:f>
        <ns0:v>0</ns0:v>
      </ns0:c>
    </ns0:row>
    <ns0:row r="14" customFormat="false" ht="15" hidden="false" customHeight="true" outlineLevel="0" collapsed="false">
      <ns0:c r="A14" s="70"/>
      <ns0:c r="B14" s="70"/>
      <ns0:c r="C14" s="71"/>
      <ns0:c r="D14" s="78" t="n">
        <ns0:f aca="false">SUMIFS(Lançamentos!$F$5:$F$504,Lançamentos!$E$5:$E$504,$A14,Lançamentos!$B$5:$B$504,"Receita")</ns0:f>
        <ns0:v>0</ns0:v>
      </ns0:c>
      <ns0:c r="E14" s="78" t="n">
        <ns0:f aca="false">SUMIFS(Lançamentos!$F$5:$F$504,Lançamentos!$E$5:$E$504,$A14,Lançamentos!$B$5:$B$504,"Despesa")</ns0:f>
        <ns0:v>0</ns0:v>
      </ns0:c>
      <ns0:c r="F14" s="79" t="n">
        <ns0:f aca="false">C14+D14-E14</ns0:f>
        <ns0:v>0</ns0:v>
      </ns0:c>
    </ns0:row>
    <ns0:row r="15" customFormat="false" ht="15" hidden="false" customHeight="true" outlineLevel="0" collapsed="false">
      <ns0:c r="A15" s="70"/>
      <ns0:c r="B15" s="70"/>
      <ns0:c r="C15" s="71"/>
      <ns0:c r="D15" s="78" t="n">
        <ns0:f aca="false">SUMIFS(Lançamentos!$F$5:$F$504,Lançamentos!$E$5:$E$504,$A15,Lançamentos!$B$5:$B$504,"Receita")</ns0:f>
        <ns0:v>0</ns0:v>
      </ns0:c>
      <ns0:c r="E15" s="78" t="n">
        <ns0:f aca="false">SUMIFS(Lançamentos!$F$5:$F$504,Lançamentos!$E$5:$E$504,$A15,Lançamentos!$B$5:$B$504,"Despesa")</ns0:f>
        <ns0:v>0</ns0:v>
      </ns0:c>
      <ns0:c r="F15" s="79" t="n">
        <ns0:f aca="false">C15+D15-E15</ns0:f>
        <ns0:v>0</ns0:v>
      </ns0:c>
    </ns0:row>
    <ns0:row r="16" customFormat="false" ht="15" hidden="false" customHeight="true" outlineLevel="0" collapsed="false">
      <ns0:c r="A16" s="70"/>
      <ns0:c r="B16" s="70"/>
      <ns0:c r="C16" s="71"/>
      <ns0:c r="D16" s="78" t="n">
        <ns0:f aca="false">SUMIFS(Lançamentos!$F$5:$F$504,Lançamentos!$E$5:$E$504,$A16,Lançamentos!$B$5:$B$504,"Receita")</ns0:f>
        <ns0:v>0</ns0:v>
      </ns0:c>
      <ns0:c r="E16" s="78" t="n">
        <ns0:f aca="false">SUMIFS(Lançamentos!$F$5:$F$504,Lançamentos!$E$5:$E$504,$A16,Lançamentos!$B$5:$B$504,"Despesa")</ns0:f>
        <ns0:v>0</ns0:v>
      </ns0:c>
      <ns0:c r="F16" s="79" t="n">
        <ns0:f aca="false">C16+D16-E16</ns0:f>
        <ns0:v>0</ns0:v>
      </ns0:c>
    </ns0:row>
    <ns0:row r="17" customFormat="false" ht="15" hidden="false" customHeight="true" outlineLevel="0" collapsed="false">
      <ns0:c r="A17" s="70"/>
      <ns0:c r="B17" s="70"/>
      <ns0:c r="C17" s="71"/>
      <ns0:c r="D17" s="78" t="n">
        <ns0:f aca="false">SUMIFS(Lançamentos!$F$5:$F$504,Lançamentos!$E$5:$E$504,$A17,Lançamentos!$B$5:$B$504,"Receita")</ns0:f>
        <ns0:v>0</ns0:v>
      </ns0:c>
      <ns0:c r="E17" s="78" t="n">
        <ns0:f aca="false">SUMIFS(Lançamentos!$F$5:$F$504,Lançamentos!$E$5:$E$504,$A17,Lançamentos!$B$5:$B$504,"Despesa")</ns0:f>
        <ns0:v>0</ns0:v>
      </ns0:c>
      <ns0:c r="F17" s="79" t="n">
        <ns0:f aca="false">C17+D17-E17</ns0:f>
        <ns0:v>0</ns0:v>
      </ns0:c>
    </ns0:row>
    <ns0:row r="18" customFormat="false" ht="15" hidden="false" customHeight="true" outlineLevel="0" collapsed="false">
      <ns0:c r="A18" s="70"/>
      <ns0:c r="B18" s="70"/>
      <ns0:c r="C18" s="71"/>
      <ns0:c r="D18" s="78" t="n">
        <ns0:f aca="false">SUMIFS(Lançamentos!$F$5:$F$504,Lançamentos!$E$5:$E$504,$A18,Lançamentos!$B$5:$B$504,"Receita")</ns0:f>
        <ns0:v>0</ns0:v>
      </ns0:c>
      <ns0:c r="E18" s="78" t="n">
        <ns0:f aca="false">SUMIFS(Lançamentos!$F$5:$F$504,Lançamentos!$E$5:$E$504,$A18,Lançamentos!$B$5:$B$504,"Despesa")</ns0:f>
        <ns0:v>0</ns0:v>
      </ns0:c>
      <ns0:c r="F18" s="79" t="n">
        <ns0:f aca="false">C18+D18-E18</ns0:f>
        <ns0:v>0</ns0:v>
      </ns0:c>
    </ns0:row>
    <ns0:row r="19" customFormat="false" ht="15" hidden="false" customHeight="true" outlineLevel="0" collapsed="false">
      <ns0:c r="A19" s="70"/>
      <ns0:c r="B19" s="70"/>
      <ns0:c r="C19" s="71"/>
      <ns0:c r="D19" s="78" t="n">
        <ns0:f aca="false">SUMIFS(Lançamentos!$F$5:$F$504,Lançamentos!$E$5:$E$504,$A19,Lançamentos!$B$5:$B$504,"Receita")</ns0:f>
        <ns0:v>0</ns0:v>
      </ns0:c>
      <ns0:c r="E19" s="78" t="n">
        <ns0:f aca="false">SUMIFS(Lançamentos!$F$5:$F$504,Lançamentos!$E$5:$E$504,$A19,Lançamentos!$B$5:$B$504,"Despesa")</ns0:f>
        <ns0:v>0</ns0:v>
      </ns0:c>
      <ns0:c r="F19" s="79" t="n">
        <ns0:f aca="false">C19+D19-E19</ns0:f>
        <ns0:v>0</ns0:v>
      </ns0:c>
    </ns0:row>
    <ns0:row r="20" customFormat="false" ht="15" hidden="false" customHeight="true" outlineLevel="0" collapsed="false">
      <ns0:c r="A20" s="70"/>
      <ns0:c r="B20" s="70"/>
      <ns0:c r="C20" s="71"/>
      <ns0:c r="D20" s="78" t="n">
        <ns0:f aca="false">SUMIFS(Lançamentos!$F$5:$F$504,Lançamentos!$E$5:$E$504,$A20,Lançamentos!$B$5:$B$504,"Receita")</ns0:f>
        <ns0:v>0</ns0:v>
      </ns0:c>
      <ns0:c r="E20" s="78" t="n">
        <ns0:f aca="false">SUMIFS(Lançamentos!$F$5:$F$504,Lançamentos!$E$5:$E$504,$A20,Lançamentos!$B$5:$B$504,"Despesa")</ns0:f>
        <ns0:v>0</ns0:v>
      </ns0:c>
      <ns0:c r="F20" s="79" t="n">
        <ns0:f aca="false">C20+D20-E20</ns0:f>
        <ns0:v>0</ns0:v>
      </ns0:c>
    </ns0:row>
    <ns0:row r="21" customFormat="false" ht="15" hidden="false" customHeight="true" outlineLevel="0" collapsed="false">
      <ns0:c r="A21" s="70"/>
      <ns0:c r="B21" s="70"/>
      <ns0:c r="C21" s="71"/>
      <ns0:c r="D21" s="78" t="n">
        <ns0:f aca="false">SUMIFS(Lançamentos!$F$5:$F$504,Lançamentos!$E$5:$E$504,$A21,Lançamentos!$B$5:$B$504,"Receita")</ns0:f>
        <ns0:v>0</ns0:v>
      </ns0:c>
      <ns0:c r="E21" s="78" t="n">
        <ns0:f aca="false">SUMIFS(Lançamentos!$F$5:$F$504,Lançamentos!$E$5:$E$504,$A21,Lançamentos!$B$5:$B$504,"Despesa")</ns0:f>
        <ns0:v>0</ns0:v>
      </ns0:c>
      <ns0:c r="F21" s="79" t="n">
        <ns0:f aca="false">C21+D21-E21</ns0:f>
        <ns0:v>0</ns0:v>
      </ns0:c>
    </ns0:row>
    <ns0:row r="22" customFormat="false" ht="15" hidden="false" customHeight="true" outlineLevel="0" collapsed="false">
      <ns0:c r="A22" s="70"/>
      <ns0:c r="B22" s="70"/>
      <ns0:c r="C22" s="71"/>
      <ns0:c r="D22" s="78" t="n">
        <ns0:f aca="false">SUMIFS(Lançamentos!$F$5:$F$504,Lançamentos!$E$5:$E$504,$A22,Lançamentos!$B$5:$B$504,"Receita")</ns0:f>
        <ns0:v>0</ns0:v>
      </ns0:c>
      <ns0:c r="E22" s="78" t="n">
        <ns0:f aca="false">SUMIFS(Lançamentos!$F$5:$F$504,Lançamentos!$E$5:$E$504,$A22,Lançamentos!$B$5:$B$504,"Despesa")</ns0:f>
        <ns0:v>0</ns0:v>
      </ns0:c>
      <ns0:c r="F22" s="79" t="n">
        <ns0:f aca="false">C22+D22-E22</ns0:f>
        <ns0:v>0</ns0:v>
      </ns0:c>
    </ns0:row>
    <ns0:row r="23" customFormat="false" ht="15" hidden="false" customHeight="true" outlineLevel="0" collapsed="false">
      <ns0:c r="A23" s="70"/>
      <ns0:c r="B23" s="70"/>
      <ns0:c r="C23" s="71"/>
      <ns0:c r="D23" s="78" t="n">
        <ns0:f aca="false">SUMIFS(Lançamentos!$F$5:$F$504,Lançamentos!$E$5:$E$504,$A23,Lançamentos!$B$5:$B$504,"Receita")</ns0:f>
        <ns0:v>0</ns0:v>
      </ns0:c>
      <ns0:c r="E23" s="78" t="n">
        <ns0:f aca="false">SUMIFS(Lançamentos!$F$5:$F$504,Lançamentos!$E$5:$E$504,$A23,Lançamentos!$B$5:$B$504,"Despesa")</ns0:f>
        <ns0:v>0</ns0:v>
      </ns0:c>
      <ns0:c r="F23" s="79" t="n">
        <ns0:f aca="false">C23+D23-E23</ns0:f>
        <ns0:v>0</ns0:v>
      </ns0:c>
    </ns0:row>
    <ns0:row r="24" customFormat="false" ht="15" hidden="false" customHeight="true" outlineLevel="0" collapsed="false">
      <ns0:c r="A24" s="70"/>
      <ns0:c r="B24" s="70"/>
      <ns0:c r="C24" s="71"/>
      <ns0:c r="D24" s="78" t="n">
        <ns0:f aca="false">SUMIFS(Lançamentos!$F$5:$F$504,Lançamentos!$E$5:$E$504,$A24,Lançamentos!$B$5:$B$504,"Receita")</ns0:f>
        <ns0:v>0</ns0:v>
      </ns0:c>
      <ns0:c r="E24" s="78" t="n">
        <ns0:f aca="false">SUMIFS(Lançamentos!$F$5:$F$504,Lançamentos!$E$5:$E$504,$A24,Lançamentos!$B$5:$B$504,"Despesa")</ns0:f>
        <ns0:v>0</ns0:v>
      </ns0:c>
      <ns0:c r="F24" s="79" t="n">
        <ns0:f aca="false">C24+D24-E24</ns0:f>
        <ns0:v>0</ns0:v>
      </ns0:c>
    </ns0:row>
    <ns0:row r="25" customFormat="false" ht="15" hidden="false" customHeight="true" outlineLevel="0" collapsed="false">
      <ns0:c r="A25" s="70"/>
      <ns0:c r="B25" s="70"/>
      <ns0:c r="C25" s="71"/>
      <ns0:c r="D25" s="78" t="n">
        <ns0:f aca="false">SUMIFS(Lançamentos!$F$5:$F$504,Lançamentos!$E$5:$E$504,$A25,Lançamentos!$B$5:$B$504,"Receita")</ns0:f>
        <ns0:v>0</ns0:v>
      </ns0:c>
      <ns0:c r="E25" s="78" t="n">
        <ns0:f aca="false">SUMIFS(Lançamentos!$F$5:$F$504,Lançamentos!$E$5:$E$504,$A25,Lançamentos!$B$5:$B$504,"Despesa")</ns0:f>
        <ns0:v>0</ns0:v>
      </ns0:c>
      <ns0:c r="F25" s="79" t="n">
        <ns0:f aca="false">C25+D25-E25</ns0:f>
        <ns0:v>0</ns0:v>
      </ns0:c>
    </ns0:row>
    <ns0:row r="26" customFormat="false" ht="15" hidden="false" customHeight="true" outlineLevel="0" collapsed="false">
      <ns0:c r="A26" s="70"/>
      <ns0:c r="B26" s="70"/>
      <ns0:c r="C26" s="71"/>
      <ns0:c r="D26" s="78" t="n">
        <ns0:f aca="false">SUMIFS(Lançamentos!$F$5:$F$504,Lançamentos!$E$5:$E$504,$A26,Lançamentos!$B$5:$B$504,"Receita")</ns0:f>
        <ns0:v>0</ns0:v>
      </ns0:c>
      <ns0:c r="E26" s="78" t="n">
        <ns0:f aca="false">SUMIFS(Lançamentos!$F$5:$F$504,Lançamentos!$E$5:$E$504,$A26,Lançamentos!$B$5:$B$504,"Despesa")</ns0:f>
        <ns0:v>0</ns0:v>
      </ns0:c>
      <ns0:c r="F26" s="79" t="n">
        <ns0:f aca="false">C26+D26-E26</ns0:f>
        <ns0:v>0</ns0:v>
      </ns0:c>
    </ns0:row>
    <ns0:row r="27" customFormat="false" ht="15" hidden="false" customHeight="true" outlineLevel="0" collapsed="false">
      <ns0:c r="A27" s="70"/>
      <ns0:c r="B27" s="70"/>
      <ns0:c r="C27" s="71"/>
      <ns0:c r="D27" s="78" t="n">
        <ns0:f aca="false">SUMIFS(Lançamentos!$F$5:$F$504,Lançamentos!$E$5:$E$504,$A27,Lançamentos!$B$5:$B$504,"Receita")</ns0:f>
        <ns0:v>0</ns0:v>
      </ns0:c>
      <ns0:c r="E27" s="78" t="n">
        <ns0:f aca="false">SUMIFS(Lançamentos!$F$5:$F$504,Lançamentos!$E$5:$E$504,$A27,Lançamentos!$B$5:$B$504,"Despesa")</ns0:f>
        <ns0:v>0</ns0:v>
      </ns0:c>
      <ns0:c r="F27" s="79" t="n">
        <ns0:f aca="false">C27+D27-E27</ns0:f>
        <ns0:v>0</ns0:v>
      </ns0:c>
    </ns0:row>
    <ns0:row r="28" customFormat="false" ht="15" hidden="false" customHeight="true" outlineLevel="0" collapsed="false">
      <ns0:c r="A28" s="70"/>
      <ns0:c r="B28" s="70"/>
      <ns0:c r="C28" s="71"/>
      <ns0:c r="D28" s="78" t="n">
        <ns0:f aca="false">SUMIFS(Lançamentos!$F$5:$F$504,Lançamentos!$E$5:$E$504,$A28,Lançamentos!$B$5:$B$504,"Receita")</ns0:f>
        <ns0:v>0</ns0:v>
      </ns0:c>
      <ns0:c r="E28" s="78" t="n">
        <ns0:f aca="false">SUMIFS(Lançamentos!$F$5:$F$504,Lançamentos!$E$5:$E$504,$A28,Lançamentos!$B$5:$B$504,"Despesa")</ns0:f>
        <ns0:v>0</ns0:v>
      </ns0:c>
      <ns0:c r="F28" s="79" t="n">
        <ns0:f aca="false">C28+D28-E28</ns0:f>
        <ns0:v>0</ns0:v>
      </ns0:c>
    </ns0:row>
    <ns0:row r="29" customFormat="false" ht="15" hidden="false" customHeight="true" outlineLevel="0" collapsed="false">
      <ns0:c r="A29" s="70"/>
      <ns0:c r="B29" s="70"/>
      <ns0:c r="C29" s="71"/>
      <ns0:c r="D29" s="78" t="n">
        <ns0:f aca="false">SUMIFS(Lançamentos!$F$5:$F$504,Lançamentos!$E$5:$E$504,$A29,Lançamentos!$B$5:$B$504,"Receita")</ns0:f>
        <ns0:v>0</ns0:v>
      </ns0:c>
      <ns0:c r="E29" s="78" t="n">
        <ns0:f aca="false">SUMIFS(Lançamentos!$F$5:$F$504,Lançamentos!$E$5:$E$504,$A29,Lançamentos!$B$5:$B$504,"Despesa")</ns0:f>
        <ns0:v>0</ns0:v>
      </ns0:c>
      <ns0:c r="F29" s="79" t="n">
        <ns0:f aca="false">C29+D29-E29</ns0:f>
        <ns0:v>0</ns0:v>
      </ns0:c>
    </ns0:row>
    <ns0:row r="30" customFormat="false" ht="15" hidden="false" customHeight="true" outlineLevel="0" collapsed="false">
      <ns0:c r="A30" s="70"/>
      <ns0:c r="B30" s="70"/>
      <ns0:c r="C30" s="71"/>
      <ns0:c r="D30" s="78" t="n">
        <ns0:f aca="false">SUMIFS(Lançamentos!$F$5:$F$504,Lançamentos!$E$5:$E$504,$A30,Lançamentos!$B$5:$B$504,"Receita")</ns0:f>
        <ns0:v>0</ns0:v>
      </ns0:c>
      <ns0:c r="E30" s="78" t="n">
        <ns0:f aca="false">SUMIFS(Lançamentos!$F$5:$F$504,Lançamentos!$E$5:$E$504,$A30,Lançamentos!$B$5:$B$504,"Despesa")</ns0:f>
        <ns0:v>0</ns0:v>
      </ns0:c>
      <ns0:c r="F30" s="79" t="n">
        <ns0:f aca="false">C30+D30-E30</ns0:f>
        <ns0:v>0</ns0:v>
      </ns0:c>
    </ns0:row>
    <ns0:row r="31" customFormat="false" ht="15" hidden="false" customHeight="true" outlineLevel="0" collapsed="false">
      <ns0:c r="A31" s="70"/>
      <ns0:c r="B31" s="70"/>
      <ns0:c r="C31" s="71"/>
      <ns0:c r="D31" s="78" t="n">
        <ns0:f aca="false">SUMIFS(Lançamentos!$F$5:$F$504,Lançamentos!$E$5:$E$504,$A31,Lançamentos!$B$5:$B$504,"Receita")</ns0:f>
        <ns0:v>0</ns0:v>
      </ns0:c>
      <ns0:c r="E31" s="78" t="n">
        <ns0:f aca="false">SUMIFS(Lançamentos!$F$5:$F$504,Lançamentos!$E$5:$E$504,$A31,Lançamentos!$B$5:$B$504,"Despesa")</ns0:f>
        <ns0:v>0</ns0:v>
      </ns0:c>
      <ns0:c r="F31" s="79" t="n">
        <ns0:f aca="false">C31+D31-E31</ns0:f>
        <ns0:v>0</ns0:v>
      </ns0:c>
    </ns0:row>
    <ns0:row r="32" customFormat="false" ht="15" hidden="false" customHeight="true" outlineLevel="0" collapsed="false">
      <ns0:c r="A32" s="70"/>
      <ns0:c r="B32" s="70"/>
      <ns0:c r="C32" s="71"/>
      <ns0:c r="D32" s="78" t="n">
        <ns0:f aca="false">SUMIFS(Lançamentos!$F$5:$F$504,Lançamentos!$E$5:$E$504,$A32,Lançamentos!$B$5:$B$504,"Receita")</ns0:f>
        <ns0:v>0</ns0:v>
      </ns0:c>
      <ns0:c r="E32" s="78" t="n">
        <ns0:f aca="false">SUMIFS(Lançamentos!$F$5:$F$504,Lançamentos!$E$5:$E$504,$A32,Lançamentos!$B$5:$B$504,"Despesa")</ns0:f>
        <ns0:v>0</ns0:v>
      </ns0:c>
      <ns0:c r="F32" s="79" t="n">
        <ns0:f aca="false">C32+D32-E32</ns0:f>
        <ns0:v>0</ns0:v>
      </ns0:c>
    </ns0:row>
    <ns0:row r="33" customFormat="false" ht="15" hidden="false" customHeight="true" outlineLevel="0" collapsed="false">
      <ns0:c r="A33" s="70"/>
      <ns0:c r="B33" s="70"/>
      <ns0:c r="C33" s="71"/>
      <ns0:c r="D33" s="78" t="n">
        <ns0:f aca="false">SUMIFS(Lançamentos!$F$5:$F$504,Lançamentos!$E$5:$E$504,$A33,Lançamentos!$B$5:$B$504,"Receita")</ns0:f>
        <ns0:v>0</ns0:v>
      </ns0:c>
      <ns0:c r="E33" s="78" t="n">
        <ns0:f aca="false">SUMIFS(Lançamentos!$F$5:$F$504,Lançamentos!$E$5:$E$504,$A33,Lançamentos!$B$5:$B$504,"Despesa")</ns0:f>
        <ns0:v>0</ns0:v>
      </ns0:c>
      <ns0:c r="F33" s="79" t="n">
        <ns0:f aca="false">C33+D33-E33</ns0:f>
        <ns0:v>0</ns0:v>
      </ns0:c>
    </ns0:row>
    <ns0:row r="34" customFormat="false" ht="15" hidden="false" customHeight="true" outlineLevel="0" collapsed="false">
      <ns0:c r="A34" s="70"/>
      <ns0:c r="B34" s="70"/>
      <ns0:c r="C34" s="71"/>
      <ns0:c r="D34" s="78" t="n">
        <ns0:f aca="false">SUMIFS(Lançamentos!$F$5:$F$504,Lançamentos!$E$5:$E$504,$A34,Lançamentos!$B$5:$B$504,"Receita")</ns0:f>
        <ns0:v>0</ns0:v>
      </ns0:c>
      <ns0:c r="E34" s="78" t="n">
        <ns0:f aca="false">SUMIFS(Lançamentos!$F$5:$F$504,Lançamentos!$E$5:$E$504,$A34,Lançamentos!$B$5:$B$504,"Despesa")</ns0:f>
        <ns0:v>0</ns0:v>
      </ns0:c>
      <ns0:c r="F34" s="79" t="n">
        <ns0:f aca="false">C34+D34-E34</ns0:f>
        <ns0:v>0</ns0:v>
      </ns0:c>
    </ns0:row>
    <ns0:row r="35" customFormat="false" ht="15" hidden="false" customHeight="true" outlineLevel="0" collapsed="false">
      <ns0:c r="C35" s="48"/>
      <ns0:c r="D35" s="82"/>
      <ns0:c r="E35" s="82"/>
    </ns0:row>
    <ns0:row r="36" customFormat="false" ht="15" hidden="false" customHeight="true" outlineLevel="0" collapsed="false">
      <ns0:c r="C36" s="48"/>
      <ns0:c r="D36" s="82"/>
      <ns0:c r="E36" s="82"/>
    </ns0:row>
    <ns0:row r="37" customFormat="false" ht="15" hidden="false" customHeight="true" outlineLevel="0" collapsed="false">
      <ns0:c r="C37" s="48"/>
      <ns0:c r="D37" s="82"/>
      <ns0:c r="E37" s="82"/>
    </ns0:row>
    <ns0:row r="38" customFormat="false" ht="15" hidden="false" customHeight="true" outlineLevel="0" collapsed="false">
      <ns0:c r="C38" s="48"/>
      <ns0:c r="D38" s="82"/>
      <ns0:c r="E38" s="82"/>
    </ns0:row>
    <ns0:row r="39" customFormat="false" ht="15" hidden="false" customHeight="true" outlineLevel="0" collapsed="false">
      <ns0:c r="C39" s="48"/>
      <ns0:c r="D39" s="82"/>
      <ns0:c r="E39" s="82"/>
    </ns0:row>
    <ns0:row r="40" customFormat="false" ht="15" hidden="false" customHeight="true" outlineLevel="0" collapsed="false">
      <ns0:c r="C40" s="48"/>
      <ns0:c r="D40" s="82"/>
      <ns0:c r="E40" s="82"/>
    </ns0:row>
    <ns0:row r="41" customFormat="false" ht="15" hidden="false" customHeight="true" outlineLevel="0" collapsed="false">
      <ns0:c r="C41" s="48"/>
      <ns0:c r="D41" s="82"/>
      <ns0:c r="E41" s="82"/>
    </ns0:row>
    <ns0:row r="42" customFormat="false" ht="15" hidden="false" customHeight="true" outlineLevel="0" collapsed="false">
      <ns0:c r="C42" s="48"/>
      <ns0:c r="D42" s="82"/>
      <ns0:c r="E42" s="82"/>
    </ns0:row>
    <ns0:row r="43" customFormat="false" ht="15" hidden="false" customHeight="true" outlineLevel="0" collapsed="false">
      <ns0:c r="C43" s="48"/>
      <ns0:c r="D43" s="82"/>
      <ns0:c r="E43" s="82"/>
    </ns0:row>
    <ns0:row r="44" customFormat="false" ht="15" hidden="false" customHeight="true" outlineLevel="0" collapsed="false">
      <ns0:c r="C44" s="48"/>
      <ns0:c r="D44" s="82"/>
      <ns0:c r="E44" s="82"/>
    </ns0:row>
    <ns0:row r="45" customFormat="false" ht="15" hidden="false" customHeight="true" outlineLevel="0" collapsed="false">
      <ns0:c r="C45" s="48"/>
      <ns0:c r="D45" s="82"/>
      <ns0:c r="E45" s="82"/>
    </ns0:row>
    <ns0:row r="46" customFormat="false" ht="15" hidden="false" customHeight="true" outlineLevel="0" collapsed="false">
      <ns0:c r="C46" s="48"/>
      <ns0:c r="D46" s="82"/>
      <ns0:c r="E46" s="82"/>
    </ns0:row>
    <ns0:row r="47" customFormat="false" ht="15" hidden="false" customHeight="true" outlineLevel="0" collapsed="false">
      <ns0:c r="C47" s="48"/>
      <ns0:c r="D47" s="82"/>
      <ns0:c r="E47" s="82"/>
    </ns0:row>
    <ns0:row r="48" customFormat="false" ht="15" hidden="false" customHeight="true" outlineLevel="0" collapsed="false">
      <ns0:c r="C48" s="48"/>
      <ns0:c r="D48" s="82"/>
      <ns0:c r="E48" s="82"/>
    </ns0:row>
    <ns0:row r="49" customFormat="false" ht="15" hidden="false" customHeight="true" outlineLevel="0" collapsed="false">
      <ns0:c r="C49" s="48"/>
      <ns0:c r="D49" s="82"/>
      <ns0:c r="E49" s="82"/>
    </ns0:row>
    <ns0:row r="50" customFormat="false" ht="15" hidden="false" customHeight="true" outlineLevel="0" collapsed="false">
      <ns0:c r="C50" s="48"/>
      <ns0:c r="D50" s="82"/>
      <ns0:c r="E50" s="82"/>
    </ns0:row>
    <ns0:row r="51" customFormat="false" ht="15" hidden="false" customHeight="true" outlineLevel="0" collapsed="false">
      <ns0:c r="C51" s="48"/>
      <ns0:c r="D51" s="82"/>
      <ns0:c r="E51" s="82"/>
    </ns0:row>
    <ns0:row r="52" customFormat="false" ht="15" hidden="false" customHeight="true" outlineLevel="0" collapsed="false">
      <ns0:c r="C52" s="48"/>
      <ns0:c r="D52" s="82"/>
      <ns0:c r="E52" s="82"/>
    </ns0:row>
    <ns0:row r="53" customFormat="false" ht="15" hidden="false" customHeight="true" outlineLevel="0" collapsed="false">
      <ns0:c r="C53" s="48"/>
      <ns0:c r="D53" s="82"/>
      <ns0:c r="E53" s="82"/>
    </ns0:row>
  </ns0:sheetData>
  <ns0:sheetProtection sheet="true" selectLockedCells="true" selectUnlockedCells="true"/>
  <ns0:autoFilter ref="A3:E53"/>
  <ns0:mergeCells count="2">
    <ns0:mergeCell ref="A1:H1"/>
    <ns0:mergeCell ref="A2:H2"/>
  </ns0:mergeCells>
  <ns0:dataValidations count="1">
    <ns0:dataValidation allowBlank="true" errorStyle="stop" operator="between" showDropDown="false" showErrorMessage="false" showInputMessage="false" sqref="B4:B53" type="list">
      <ns0:formula1>"Corrente,Poupança,Investimentos,Carteira"</ns0:formula1>
      <ns0:formula2>0</ns0:formula2>
    </ns0:dataValidation>
  </ns0:dataValidations>
  <ns0:hyperlinks>
    <ns0:hyperlink ref="A2" location="'COMECE%20AQUI'!A1" display="← Comece aqui"/>
  </ns0:hyperlinks>
  <ns0:printOptions headings="false" gridLines="false" gridLinesSet="true" horizontalCentered="false" verticalCentered="false"/>
  <ns0:pageMargins left="0.75" right="0.75" top="1" bottom="1" header="0.511811023622047" footer="0.511811023622047"/>
  <ns0:pageSetup paperSize="1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  <ns0:drawing ns1:id="rId2"/>
</ns0: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20"/>
    <col collapsed="false" customWidth="true" hidden="false" outlineLevel="0" max="2" min="2" style="24" width="18"/>
    <col collapsed="false" customWidth="true" hidden="false" outlineLevel="0" max="3" min="3" style="24" width="28"/>
    <col collapsed="false" customWidth="true" hidden="false" outlineLevel="0" max="4" min="4" style="24" width="13"/>
    <col collapsed="false" customWidth="true" hidden="false" outlineLevel="0" max="6" min="5" style="24" width="18"/>
    <col collapsed="false" customWidth="true" hidden="false" outlineLevel="0" max="7" min="7" style="24" width="16"/>
    <col collapsed="false" customWidth="true" hidden="false" outlineLevel="0" max="8" min="8" style="24" width="17"/>
    <col collapsed="false" customWidth="true" hidden="false" outlineLevel="0" max="9" min="9" style="24" width="25"/>
    <col collapsed="false" customWidth="true" hidden="false" outlineLevel="0" max="11" min="11" style="24" width="24"/>
    <col collapsed="false" customWidth="true" hidden="false" outlineLevel="0" max="12" min="12" style="24" width="18"/>
  </cols>
  <sheetData>
    <row r="1" customFormat="false" ht="37.5" hidden="false" customHeight="true" outlineLevel="0" collapsed="false">
      <c r="A1" s="51" t="s">
        <v>111</v>
      </c>
      <c r="B1" s="51"/>
      <c r="C1" s="51"/>
      <c r="D1" s="51"/>
      <c r="E1" s="51"/>
      <c r="F1" s="51"/>
      <c r="G1" s="51"/>
      <c r="H1" s="51"/>
      <c r="I1" s="51"/>
    </row>
    <row r="2" customFormat="false" ht="15" hidden="false" customHeight="true" outlineLevel="0" collapsed="false">
      <c r="A2" s="83" t="s">
        <v>112</v>
      </c>
      <c r="B2" s="83"/>
      <c r="C2" s="83"/>
      <c r="D2" s="83"/>
      <c r="E2" s="83"/>
      <c r="F2" s="83"/>
      <c r="G2" s="83"/>
      <c r="H2" s="83"/>
      <c r="I2" s="83"/>
    </row>
    <row r="3" customFormat="false" ht="15" hidden="false" customHeight="true" outlineLevel="0" collapsed="false">
      <c r="A3" s="72"/>
      <c r="B3" s="72"/>
      <c r="C3" s="72"/>
      <c r="D3" s="72"/>
      <c r="E3" s="72"/>
      <c r="F3" s="72"/>
      <c r="G3" s="72"/>
      <c r="H3" s="72"/>
      <c r="I3" s="72"/>
    </row>
    <row r="4" customFormat="false" ht="17.25" hidden="false" customHeight="true" outlineLevel="0" collapsed="false">
      <c r="A4" s="74" t="s">
        <v>113</v>
      </c>
      <c r="B4" s="74" t="s">
        <v>114</v>
      </c>
      <c r="C4" s="74" t="s">
        <v>86</v>
      </c>
      <c r="D4" s="75" t="s">
        <v>83</v>
      </c>
      <c r="E4" s="75" t="s">
        <v>115</v>
      </c>
      <c r="F4" s="75" t="s">
        <v>116</v>
      </c>
      <c r="G4" s="84" t="s">
        <v>117</v>
      </c>
      <c r="H4" s="84" t="s">
        <v>118</v>
      </c>
      <c r="I4" s="54" t="s">
        <v>89</v>
      </c>
      <c r="K4" s="85" t="s">
        <v>119</v>
      </c>
    </row>
    <row r="5" customFormat="false" ht="15" hidden="false" customHeight="true" outlineLevel="0" collapsed="false">
      <c r="A5" s="63"/>
      <c r="B5" s="86"/>
      <c r="C5" s="63"/>
      <c r="D5" s="62"/>
      <c r="E5" s="64"/>
      <c r="F5" s="64"/>
      <c r="G5" s="87" t="n">
        <f aca="false">IFERROR(F5/E5-1,0)</f>
        <v>0</v>
      </c>
      <c r="H5" s="87" t="n">
        <f aca="false">IFERROR(F5/SUM($F$5:$F$104),0)</f>
        <v>0</v>
      </c>
      <c r="I5" s="70"/>
      <c r="K5" s="55" t="s">
        <v>115</v>
      </c>
      <c r="L5" s="79" t="n">
        <f aca="false">SUM(E5:E104)</f>
        <v>0</v>
      </c>
    </row>
    <row r="6" customFormat="false" ht="15" hidden="false" customHeight="true" outlineLevel="0" collapsed="false">
      <c r="A6" s="63"/>
      <c r="B6" s="86"/>
      <c r="C6" s="63"/>
      <c r="D6" s="62"/>
      <c r="E6" s="64"/>
      <c r="F6" s="64"/>
      <c r="G6" s="87" t="n">
        <f aca="false">IFERROR(F6/E6-1,0)</f>
        <v>0</v>
      </c>
      <c r="H6" s="87" t="n">
        <f aca="false">IFERROR(F6/SUM($F$5:$F$104),0)</f>
        <v>0</v>
      </c>
      <c r="I6" s="70"/>
      <c r="K6" s="55" t="s">
        <v>116</v>
      </c>
      <c r="L6" s="79" t="n">
        <f aca="false">SUM(F5:F104)</f>
        <v>0</v>
      </c>
    </row>
    <row r="7" customFormat="false" ht="15" hidden="false" customHeight="true" outlineLevel="0" collapsed="false">
      <c r="A7" s="63"/>
      <c r="B7" s="86"/>
      <c r="C7" s="63"/>
      <c r="D7" s="62"/>
      <c r="E7" s="64"/>
      <c r="F7" s="64"/>
      <c r="G7" s="87" t="n">
        <f aca="false">IFERROR(F7/E7-1,0)</f>
        <v>0</v>
      </c>
      <c r="H7" s="87" t="n">
        <f aca="false">IFERROR(F7/SUM($F$5:$F$104),0)</f>
        <v>0</v>
      </c>
      <c r="I7" s="70"/>
      <c r="K7" s="55" t="s">
        <v>120</v>
      </c>
      <c r="L7" s="88" t="n">
        <f aca="false">IFERROR(L6/L5-1,0)</f>
        <v>0</v>
      </c>
    </row>
    <row r="8" customFormat="false" ht="15" hidden="false" customHeight="true" outlineLevel="0" collapsed="false">
      <c r="A8" s="66"/>
      <c r="B8" s="68"/>
      <c r="C8" s="66"/>
      <c r="D8" s="65"/>
      <c r="E8" s="67"/>
      <c r="F8" s="67"/>
      <c r="G8" s="87" t="n">
        <f aca="false">IFERROR(F8/E8-1,0)</f>
        <v>0</v>
      </c>
      <c r="H8" s="87" t="n">
        <f aca="false">IFERROR(F8/SUM($F$5:$F$104),0)</f>
        <v>0</v>
      </c>
      <c r="I8" s="70"/>
      <c r="K8" s="55" t="s">
        <v>121</v>
      </c>
      <c r="L8" s="89" t="n">
        <f aca="false">COUNTIF(A5:A104,"&lt;&gt;")</f>
        <v>0</v>
      </c>
    </row>
    <row r="9" customFormat="false" ht="15" hidden="false" customHeight="true" outlineLevel="0" collapsed="false">
      <c r="A9" s="66"/>
      <c r="B9" s="68"/>
      <c r="C9" s="66"/>
      <c r="D9" s="65"/>
      <c r="E9" s="67"/>
      <c r="F9" s="67"/>
      <c r="G9" s="87" t="n">
        <f aca="false">IFERROR(F9/E9-1,0)</f>
        <v>0</v>
      </c>
      <c r="H9" s="87" t="n">
        <f aca="false">IFERROR(F9/SUM($F$5:$F$104),0)</f>
        <v>0</v>
      </c>
      <c r="I9" s="70"/>
    </row>
    <row r="10" customFormat="false" ht="15" hidden="false" customHeight="true" outlineLevel="0" collapsed="false">
      <c r="A10" s="66"/>
      <c r="B10" s="68"/>
      <c r="C10" s="66"/>
      <c r="D10" s="65"/>
      <c r="E10" s="67"/>
      <c r="F10" s="67"/>
      <c r="G10" s="87" t="n">
        <f aca="false">IFERROR(F10/E10-1,0)</f>
        <v>0</v>
      </c>
      <c r="H10" s="87" t="n">
        <f aca="false">IFERROR(F10/SUM($F$5:$F$104),0)</f>
        <v>0</v>
      </c>
      <c r="I10" s="70"/>
    </row>
    <row r="11" customFormat="false" ht="15" hidden="false" customHeight="true" outlineLevel="0" collapsed="false">
      <c r="A11" s="66"/>
      <c r="B11" s="68"/>
      <c r="C11" s="66"/>
      <c r="D11" s="65"/>
      <c r="E11" s="67"/>
      <c r="F11" s="67"/>
      <c r="G11" s="87" t="n">
        <f aca="false">IFERROR(F11/E11-1,0)</f>
        <v>0</v>
      </c>
      <c r="H11" s="87" t="n">
        <f aca="false">IFERROR(F11/SUM($F$5:$F$104),0)</f>
        <v>0</v>
      </c>
      <c r="I11" s="70"/>
    </row>
    <row r="12" customFormat="false" ht="15" hidden="false" customHeight="true" outlineLevel="0" collapsed="false">
      <c r="A12" s="66"/>
      <c r="B12" s="68"/>
      <c r="C12" s="66"/>
      <c r="D12" s="65"/>
      <c r="E12" s="67"/>
      <c r="F12" s="67"/>
      <c r="G12" s="87" t="n">
        <f aca="false">IFERROR(F12/E12-1,0)</f>
        <v>0</v>
      </c>
      <c r="H12" s="87" t="n">
        <f aca="false">IFERROR(F12/SUM($F$5:$F$104),0)</f>
        <v>0</v>
      </c>
      <c r="I12" s="70"/>
    </row>
    <row r="13" customFormat="false" ht="15" hidden="false" customHeight="true" outlineLevel="0" collapsed="false">
      <c r="A13" s="66"/>
      <c r="B13" s="68"/>
      <c r="C13" s="66"/>
      <c r="D13" s="65"/>
      <c r="E13" s="67"/>
      <c r="F13" s="67"/>
      <c r="G13" s="87" t="n">
        <f aca="false">IFERROR(F13/E13-1,0)</f>
        <v>0</v>
      </c>
      <c r="H13" s="87" t="n">
        <f aca="false">IFERROR(F13/SUM($F$5:$F$104),0)</f>
        <v>0</v>
      </c>
      <c r="I13" s="70"/>
    </row>
    <row r="14" customFormat="false" ht="15" hidden="false" customHeight="true" outlineLevel="0" collapsed="false">
      <c r="A14" s="66"/>
      <c r="B14" s="68"/>
      <c r="C14" s="66"/>
      <c r="D14" s="65"/>
      <c r="E14" s="67"/>
      <c r="F14" s="67"/>
      <c r="G14" s="87" t="n">
        <f aca="false">IFERROR(F14/E14-1,0)</f>
        <v>0</v>
      </c>
      <c r="H14" s="87" t="n">
        <f aca="false">IFERROR(F14/SUM($F$5:$F$104),0)</f>
        <v>0</v>
      </c>
      <c r="I14" s="70"/>
    </row>
    <row r="15" customFormat="false" ht="15" hidden="false" customHeight="true" outlineLevel="0" collapsed="false">
      <c r="A15" s="66"/>
      <c r="B15" s="68"/>
      <c r="C15" s="66"/>
      <c r="D15" s="65"/>
      <c r="E15" s="67"/>
      <c r="F15" s="67"/>
      <c r="G15" s="87" t="n">
        <f aca="false">IFERROR(F15/E15-1,0)</f>
        <v>0</v>
      </c>
      <c r="H15" s="87" t="n">
        <f aca="false">IFERROR(F15/SUM($F$5:$F$104),0)</f>
        <v>0</v>
      </c>
      <c r="I15" s="70"/>
    </row>
    <row r="16" customFormat="false" ht="15" hidden="false" customHeight="true" outlineLevel="0" collapsed="false">
      <c r="A16" s="66"/>
      <c r="B16" s="68"/>
      <c r="C16" s="66"/>
      <c r="D16" s="65"/>
      <c r="E16" s="67"/>
      <c r="F16" s="67"/>
      <c r="G16" s="87" t="n">
        <f aca="false">IFERROR(F16/E16-1,0)</f>
        <v>0</v>
      </c>
      <c r="H16" s="87" t="n">
        <f aca="false">IFERROR(F16/SUM($F$5:$F$104),0)</f>
        <v>0</v>
      </c>
      <c r="I16" s="70"/>
    </row>
    <row r="17" customFormat="false" ht="15" hidden="false" customHeight="true" outlineLevel="0" collapsed="false">
      <c r="A17" s="66"/>
      <c r="B17" s="68"/>
      <c r="C17" s="66"/>
      <c r="D17" s="65"/>
      <c r="E17" s="67"/>
      <c r="F17" s="67"/>
      <c r="G17" s="87" t="n">
        <f aca="false">IFERROR(F17/E17-1,0)</f>
        <v>0</v>
      </c>
      <c r="H17" s="87" t="n">
        <f aca="false">IFERROR(F17/SUM($F$5:$F$104),0)</f>
        <v>0</v>
      </c>
      <c r="I17" s="70"/>
    </row>
    <row r="18" customFormat="false" ht="15" hidden="false" customHeight="true" outlineLevel="0" collapsed="false">
      <c r="A18" s="66"/>
      <c r="B18" s="68"/>
      <c r="C18" s="66"/>
      <c r="D18" s="65"/>
      <c r="E18" s="67"/>
      <c r="F18" s="67"/>
      <c r="G18" s="87" t="n">
        <f aca="false">IFERROR(F18/E18-1,0)</f>
        <v>0</v>
      </c>
      <c r="H18" s="87" t="n">
        <f aca="false">IFERROR(F18/SUM($F$5:$F$104),0)</f>
        <v>0</v>
      </c>
      <c r="I18" s="70"/>
    </row>
    <row r="19" customFormat="false" ht="15" hidden="false" customHeight="true" outlineLevel="0" collapsed="false">
      <c r="A19" s="66"/>
      <c r="B19" s="68"/>
      <c r="C19" s="66"/>
      <c r="D19" s="65"/>
      <c r="E19" s="67"/>
      <c r="F19" s="67"/>
      <c r="G19" s="87" t="n">
        <f aca="false">IFERROR(F19/E19-1,0)</f>
        <v>0</v>
      </c>
      <c r="H19" s="87" t="n">
        <f aca="false">IFERROR(F19/SUM($F$5:$F$104),0)</f>
        <v>0</v>
      </c>
      <c r="I19" s="70"/>
    </row>
    <row r="20" customFormat="false" ht="15" hidden="false" customHeight="true" outlineLevel="0" collapsed="false">
      <c r="A20" s="66"/>
      <c r="B20" s="68"/>
      <c r="C20" s="66"/>
      <c r="D20" s="65"/>
      <c r="E20" s="67"/>
      <c r="F20" s="67"/>
      <c r="G20" s="87" t="n">
        <f aca="false">IFERROR(F20/E20-1,0)</f>
        <v>0</v>
      </c>
      <c r="H20" s="87" t="n">
        <f aca="false">IFERROR(F20/SUM($F$5:$F$104),0)</f>
        <v>0</v>
      </c>
      <c r="I20" s="70"/>
    </row>
    <row r="21" customFormat="false" ht="15" hidden="false" customHeight="true" outlineLevel="0" collapsed="false">
      <c r="A21" s="66"/>
      <c r="B21" s="68"/>
      <c r="C21" s="66"/>
      <c r="D21" s="65"/>
      <c r="E21" s="67"/>
      <c r="F21" s="67"/>
      <c r="G21" s="87" t="n">
        <f aca="false">IFERROR(F21/E21-1,0)</f>
        <v>0</v>
      </c>
      <c r="H21" s="87" t="n">
        <f aca="false">IFERROR(F21/SUM($F$5:$F$104),0)</f>
        <v>0</v>
      </c>
      <c r="I21" s="70"/>
    </row>
    <row r="22" customFormat="false" ht="15" hidden="false" customHeight="true" outlineLevel="0" collapsed="false">
      <c r="A22" s="66"/>
      <c r="B22" s="68"/>
      <c r="C22" s="66"/>
      <c r="D22" s="65"/>
      <c r="E22" s="67"/>
      <c r="F22" s="67"/>
      <c r="G22" s="87" t="n">
        <f aca="false">IFERROR(F22/E22-1,0)</f>
        <v>0</v>
      </c>
      <c r="H22" s="87" t="n">
        <f aca="false">IFERROR(F22/SUM($F$5:$F$104),0)</f>
        <v>0</v>
      </c>
      <c r="I22" s="70"/>
    </row>
    <row r="23" customFormat="false" ht="15" hidden="false" customHeight="true" outlineLevel="0" collapsed="false">
      <c r="A23" s="66"/>
      <c r="B23" s="68"/>
      <c r="C23" s="66"/>
      <c r="D23" s="65"/>
      <c r="E23" s="67"/>
      <c r="F23" s="67"/>
      <c r="G23" s="87" t="n">
        <f aca="false">IFERROR(F23/E23-1,0)</f>
        <v>0</v>
      </c>
      <c r="H23" s="87" t="n">
        <f aca="false">IFERROR(F23/SUM($F$5:$F$104),0)</f>
        <v>0</v>
      </c>
      <c r="I23" s="70"/>
    </row>
    <row r="24" customFormat="false" ht="15" hidden="false" customHeight="true" outlineLevel="0" collapsed="false">
      <c r="A24" s="66"/>
      <c r="B24" s="68"/>
      <c r="C24" s="66"/>
      <c r="D24" s="65"/>
      <c r="E24" s="67"/>
      <c r="F24" s="67"/>
      <c r="G24" s="87" t="n">
        <f aca="false">IFERROR(F24/E24-1,0)</f>
        <v>0</v>
      </c>
      <c r="H24" s="87" t="n">
        <f aca="false">IFERROR(F24/SUM($F$5:$F$104),0)</f>
        <v>0</v>
      </c>
      <c r="I24" s="70"/>
    </row>
    <row r="25" customFormat="false" ht="15" hidden="false" customHeight="true" outlineLevel="0" collapsed="false">
      <c r="A25" s="66"/>
      <c r="B25" s="68"/>
      <c r="C25" s="66"/>
      <c r="D25" s="65"/>
      <c r="E25" s="67"/>
      <c r="F25" s="67"/>
      <c r="G25" s="87" t="n">
        <f aca="false">IFERROR(F25/E25-1,0)</f>
        <v>0</v>
      </c>
      <c r="H25" s="87" t="n">
        <f aca="false">IFERROR(F25/SUM($F$5:$F$104),0)</f>
        <v>0</v>
      </c>
      <c r="I25" s="70"/>
    </row>
    <row r="26" customFormat="false" ht="15" hidden="false" customHeight="true" outlineLevel="0" collapsed="false">
      <c r="A26" s="66"/>
      <c r="B26" s="68"/>
      <c r="C26" s="66"/>
      <c r="D26" s="65"/>
      <c r="E26" s="67"/>
      <c r="F26" s="67"/>
      <c r="G26" s="87" t="n">
        <f aca="false">IFERROR(F26/E26-1,0)</f>
        <v>0</v>
      </c>
      <c r="H26" s="87" t="n">
        <f aca="false">IFERROR(F26/SUM($F$5:$F$104),0)</f>
        <v>0</v>
      </c>
      <c r="I26" s="70"/>
    </row>
    <row r="27" customFormat="false" ht="15" hidden="false" customHeight="true" outlineLevel="0" collapsed="false">
      <c r="A27" s="66"/>
      <c r="B27" s="68"/>
      <c r="C27" s="66"/>
      <c r="D27" s="65"/>
      <c r="E27" s="67"/>
      <c r="F27" s="67"/>
      <c r="G27" s="87" t="n">
        <f aca="false">IFERROR(F27/E27-1,0)</f>
        <v>0</v>
      </c>
      <c r="H27" s="87" t="n">
        <f aca="false">IFERROR(F27/SUM($F$5:$F$104),0)</f>
        <v>0</v>
      </c>
      <c r="I27" s="70"/>
    </row>
    <row r="28" customFormat="false" ht="15" hidden="false" customHeight="true" outlineLevel="0" collapsed="false">
      <c r="A28" s="66"/>
      <c r="B28" s="68"/>
      <c r="C28" s="66"/>
      <c r="D28" s="65"/>
      <c r="E28" s="67"/>
      <c r="F28" s="67"/>
      <c r="G28" s="87" t="n">
        <f aca="false">IFERROR(F28/E28-1,0)</f>
        <v>0</v>
      </c>
      <c r="H28" s="87" t="n">
        <f aca="false">IFERROR(F28/SUM($F$5:$F$104),0)</f>
        <v>0</v>
      </c>
      <c r="I28" s="70"/>
    </row>
    <row r="29" customFormat="false" ht="15" hidden="false" customHeight="true" outlineLevel="0" collapsed="false">
      <c r="A29" s="66"/>
      <c r="B29" s="68"/>
      <c r="C29" s="66"/>
      <c r="D29" s="65"/>
      <c r="E29" s="67"/>
      <c r="F29" s="67"/>
      <c r="G29" s="87" t="n">
        <f aca="false">IFERROR(F29/E29-1,0)</f>
        <v>0</v>
      </c>
      <c r="H29" s="87" t="n">
        <f aca="false">IFERROR(F29/SUM($F$5:$F$104),0)</f>
        <v>0</v>
      </c>
      <c r="I29" s="70"/>
    </row>
    <row r="30" customFormat="false" ht="15" hidden="false" customHeight="true" outlineLevel="0" collapsed="false">
      <c r="A30" s="66"/>
      <c r="B30" s="68"/>
      <c r="C30" s="66"/>
      <c r="D30" s="65"/>
      <c r="E30" s="67"/>
      <c r="F30" s="67"/>
      <c r="G30" s="87" t="n">
        <f aca="false">IFERROR(F30/E30-1,0)</f>
        <v>0</v>
      </c>
      <c r="H30" s="87" t="n">
        <f aca="false">IFERROR(F30/SUM($F$5:$F$104),0)</f>
        <v>0</v>
      </c>
      <c r="I30" s="70"/>
    </row>
    <row r="31" customFormat="false" ht="15" hidden="false" customHeight="true" outlineLevel="0" collapsed="false">
      <c r="A31" s="66"/>
      <c r="B31" s="68"/>
      <c r="C31" s="66"/>
      <c r="D31" s="65"/>
      <c r="E31" s="67"/>
      <c r="F31" s="67"/>
      <c r="G31" s="87" t="n">
        <f aca="false">IFERROR(F31/E31-1,0)</f>
        <v>0</v>
      </c>
      <c r="H31" s="87" t="n">
        <f aca="false">IFERROR(F31/SUM($F$5:$F$104),0)</f>
        <v>0</v>
      </c>
      <c r="I31" s="70"/>
    </row>
    <row r="32" customFormat="false" ht="15" hidden="false" customHeight="true" outlineLevel="0" collapsed="false">
      <c r="A32" s="66"/>
      <c r="B32" s="68"/>
      <c r="C32" s="66"/>
      <c r="D32" s="65"/>
      <c r="E32" s="67"/>
      <c r="F32" s="67"/>
      <c r="G32" s="87" t="n">
        <f aca="false">IFERROR(F32/E32-1,0)</f>
        <v>0</v>
      </c>
      <c r="H32" s="87" t="n">
        <f aca="false">IFERROR(F32/SUM($F$5:$F$104),0)</f>
        <v>0</v>
      </c>
      <c r="I32" s="70"/>
    </row>
    <row r="33" customFormat="false" ht="15" hidden="false" customHeight="true" outlineLevel="0" collapsed="false">
      <c r="A33" s="66"/>
      <c r="B33" s="68"/>
      <c r="C33" s="66"/>
      <c r="D33" s="65"/>
      <c r="E33" s="67"/>
      <c r="F33" s="67"/>
      <c r="G33" s="87" t="n">
        <f aca="false">IFERROR(F33/E33-1,0)</f>
        <v>0</v>
      </c>
      <c r="H33" s="87" t="n">
        <f aca="false">IFERROR(F33/SUM($F$5:$F$104),0)</f>
        <v>0</v>
      </c>
      <c r="I33" s="70"/>
    </row>
    <row r="34" customFormat="false" ht="15" hidden="false" customHeight="true" outlineLevel="0" collapsed="false">
      <c r="A34" s="66"/>
      <c r="B34" s="68"/>
      <c r="C34" s="66"/>
      <c r="D34" s="65"/>
      <c r="E34" s="67"/>
      <c r="F34" s="67"/>
      <c r="G34" s="87" t="n">
        <f aca="false">IFERROR(F34/E34-1,0)</f>
        <v>0</v>
      </c>
      <c r="H34" s="87" t="n">
        <f aca="false">IFERROR(F34/SUM($F$5:$F$104),0)</f>
        <v>0</v>
      </c>
      <c r="I34" s="70"/>
    </row>
    <row r="35" customFormat="false" ht="15" hidden="false" customHeight="true" outlineLevel="0" collapsed="false">
      <c r="A35" s="66"/>
      <c r="B35" s="68"/>
      <c r="C35" s="66"/>
      <c r="D35" s="65"/>
      <c r="E35" s="67"/>
      <c r="F35" s="67"/>
      <c r="G35" s="87" t="n">
        <f aca="false">IFERROR(F35/E35-1,0)</f>
        <v>0</v>
      </c>
      <c r="H35" s="87" t="n">
        <f aca="false">IFERROR(F35/SUM($F$5:$F$104),0)</f>
        <v>0</v>
      </c>
      <c r="I35" s="70"/>
    </row>
    <row r="36" customFormat="false" ht="15" hidden="false" customHeight="true" outlineLevel="0" collapsed="false">
      <c r="A36" s="66"/>
      <c r="B36" s="68"/>
      <c r="C36" s="66"/>
      <c r="D36" s="65"/>
      <c r="E36" s="67"/>
      <c r="F36" s="67"/>
      <c r="G36" s="87" t="n">
        <f aca="false">IFERROR(F36/E36-1,0)</f>
        <v>0</v>
      </c>
      <c r="H36" s="87" t="n">
        <f aca="false">IFERROR(F36/SUM($F$5:$F$104),0)</f>
        <v>0</v>
      </c>
      <c r="I36" s="70"/>
    </row>
    <row r="37" customFormat="false" ht="15" hidden="false" customHeight="true" outlineLevel="0" collapsed="false">
      <c r="A37" s="66"/>
      <c r="B37" s="68"/>
      <c r="C37" s="66"/>
      <c r="D37" s="65"/>
      <c r="E37" s="67"/>
      <c r="F37" s="67"/>
      <c r="G37" s="87" t="n">
        <f aca="false">IFERROR(F37/E37-1,0)</f>
        <v>0</v>
      </c>
      <c r="H37" s="87" t="n">
        <f aca="false">IFERROR(F37/SUM($F$5:$F$104),0)</f>
        <v>0</v>
      </c>
      <c r="I37" s="70"/>
    </row>
    <row r="38" customFormat="false" ht="15" hidden="false" customHeight="true" outlineLevel="0" collapsed="false">
      <c r="A38" s="66"/>
      <c r="B38" s="68"/>
      <c r="C38" s="66"/>
      <c r="D38" s="65"/>
      <c r="E38" s="67"/>
      <c r="F38" s="67"/>
      <c r="G38" s="87" t="n">
        <f aca="false">IFERROR(F38/E38-1,0)</f>
        <v>0</v>
      </c>
      <c r="H38" s="87" t="n">
        <f aca="false">IFERROR(F38/SUM($F$5:$F$104),0)</f>
        <v>0</v>
      </c>
      <c r="I38" s="70"/>
    </row>
    <row r="39" customFormat="false" ht="15" hidden="false" customHeight="true" outlineLevel="0" collapsed="false">
      <c r="A39" s="66"/>
      <c r="B39" s="68"/>
      <c r="C39" s="66"/>
      <c r="D39" s="65"/>
      <c r="E39" s="67"/>
      <c r="F39" s="67"/>
      <c r="G39" s="87" t="n">
        <f aca="false">IFERROR(F39/E39-1,0)</f>
        <v>0</v>
      </c>
      <c r="H39" s="87" t="n">
        <f aca="false">IFERROR(F39/SUM($F$5:$F$104),0)</f>
        <v>0</v>
      </c>
      <c r="I39" s="70"/>
    </row>
    <row r="40" customFormat="false" ht="15" hidden="false" customHeight="true" outlineLevel="0" collapsed="false">
      <c r="A40" s="66"/>
      <c r="B40" s="68"/>
      <c r="C40" s="66"/>
      <c r="D40" s="65"/>
      <c r="E40" s="67"/>
      <c r="F40" s="67"/>
      <c r="G40" s="87" t="n">
        <f aca="false">IFERROR(F40/E40-1,0)</f>
        <v>0</v>
      </c>
      <c r="H40" s="87" t="n">
        <f aca="false">IFERROR(F40/SUM($F$5:$F$104),0)</f>
        <v>0</v>
      </c>
      <c r="I40" s="70"/>
    </row>
    <row r="41" customFormat="false" ht="15" hidden="false" customHeight="true" outlineLevel="0" collapsed="false">
      <c r="A41" s="66"/>
      <c r="B41" s="68"/>
      <c r="C41" s="66"/>
      <c r="D41" s="65"/>
      <c r="E41" s="67"/>
      <c r="F41" s="67"/>
      <c r="G41" s="87" t="n">
        <f aca="false">IFERROR(F41/E41-1,0)</f>
        <v>0</v>
      </c>
      <c r="H41" s="87" t="n">
        <f aca="false">IFERROR(F41/SUM($F$5:$F$104),0)</f>
        <v>0</v>
      </c>
      <c r="I41" s="70"/>
    </row>
    <row r="42" customFormat="false" ht="15" hidden="false" customHeight="true" outlineLevel="0" collapsed="false">
      <c r="A42" s="66"/>
      <c r="B42" s="68"/>
      <c r="C42" s="66"/>
      <c r="D42" s="65"/>
      <c r="E42" s="67"/>
      <c r="F42" s="67"/>
      <c r="G42" s="87" t="n">
        <f aca="false">IFERROR(F42/E42-1,0)</f>
        <v>0</v>
      </c>
      <c r="H42" s="87" t="n">
        <f aca="false">IFERROR(F42/SUM($F$5:$F$104),0)</f>
        <v>0</v>
      </c>
      <c r="I42" s="70"/>
    </row>
    <row r="43" customFormat="false" ht="15" hidden="false" customHeight="true" outlineLevel="0" collapsed="false">
      <c r="A43" s="66"/>
      <c r="B43" s="68"/>
      <c r="C43" s="66"/>
      <c r="D43" s="65"/>
      <c r="E43" s="67"/>
      <c r="F43" s="67"/>
      <c r="G43" s="87" t="n">
        <f aca="false">IFERROR(F43/E43-1,0)</f>
        <v>0</v>
      </c>
      <c r="H43" s="87" t="n">
        <f aca="false">IFERROR(F43/SUM($F$5:$F$104),0)</f>
        <v>0</v>
      </c>
      <c r="I43" s="70"/>
    </row>
    <row r="44" customFormat="false" ht="15" hidden="false" customHeight="true" outlineLevel="0" collapsed="false">
      <c r="A44" s="66"/>
      <c r="B44" s="68"/>
      <c r="C44" s="66"/>
      <c r="D44" s="65"/>
      <c r="E44" s="67"/>
      <c r="F44" s="67"/>
      <c r="G44" s="87" t="n">
        <f aca="false">IFERROR(F44/E44-1,0)</f>
        <v>0</v>
      </c>
      <c r="H44" s="87" t="n">
        <f aca="false">IFERROR(F44/SUM($F$5:$F$104),0)</f>
        <v>0</v>
      </c>
      <c r="I44" s="70"/>
    </row>
    <row r="45" customFormat="false" ht="15" hidden="false" customHeight="true" outlineLevel="0" collapsed="false">
      <c r="A45" s="66"/>
      <c r="B45" s="68"/>
      <c r="C45" s="66"/>
      <c r="D45" s="65"/>
      <c r="E45" s="67"/>
      <c r="F45" s="67"/>
      <c r="G45" s="87" t="n">
        <f aca="false">IFERROR(F45/E45-1,0)</f>
        <v>0</v>
      </c>
      <c r="H45" s="87" t="n">
        <f aca="false">IFERROR(F45/SUM($F$5:$F$104),0)</f>
        <v>0</v>
      </c>
      <c r="I45" s="70"/>
    </row>
    <row r="46" customFormat="false" ht="15" hidden="false" customHeight="true" outlineLevel="0" collapsed="false">
      <c r="A46" s="66"/>
      <c r="B46" s="68"/>
      <c r="C46" s="66"/>
      <c r="D46" s="65"/>
      <c r="E46" s="67"/>
      <c r="F46" s="67"/>
      <c r="G46" s="87" t="n">
        <f aca="false">IFERROR(F46/E46-1,0)</f>
        <v>0</v>
      </c>
      <c r="H46" s="87" t="n">
        <f aca="false">IFERROR(F46/SUM($F$5:$F$104),0)</f>
        <v>0</v>
      </c>
      <c r="I46" s="70"/>
    </row>
    <row r="47" customFormat="false" ht="15" hidden="false" customHeight="true" outlineLevel="0" collapsed="false">
      <c r="A47" s="66"/>
      <c r="B47" s="68"/>
      <c r="C47" s="66"/>
      <c r="D47" s="65"/>
      <c r="E47" s="67"/>
      <c r="F47" s="67"/>
      <c r="G47" s="87" t="n">
        <f aca="false">IFERROR(F47/E47-1,0)</f>
        <v>0</v>
      </c>
      <c r="H47" s="87" t="n">
        <f aca="false">IFERROR(F47/SUM($F$5:$F$104),0)</f>
        <v>0</v>
      </c>
      <c r="I47" s="70"/>
    </row>
    <row r="48" customFormat="false" ht="15" hidden="false" customHeight="true" outlineLevel="0" collapsed="false">
      <c r="A48" s="66"/>
      <c r="B48" s="68"/>
      <c r="C48" s="66"/>
      <c r="D48" s="65"/>
      <c r="E48" s="67"/>
      <c r="F48" s="67"/>
      <c r="G48" s="87" t="n">
        <f aca="false">IFERROR(F48/E48-1,0)</f>
        <v>0</v>
      </c>
      <c r="H48" s="87" t="n">
        <f aca="false">IFERROR(F48/SUM($F$5:$F$104),0)</f>
        <v>0</v>
      </c>
      <c r="I48" s="70"/>
    </row>
    <row r="49" customFormat="false" ht="15" hidden="false" customHeight="true" outlineLevel="0" collapsed="false">
      <c r="A49" s="66"/>
      <c r="B49" s="68"/>
      <c r="C49" s="66"/>
      <c r="D49" s="65"/>
      <c r="E49" s="67"/>
      <c r="F49" s="67"/>
      <c r="G49" s="87" t="n">
        <f aca="false">IFERROR(F49/E49-1,0)</f>
        <v>0</v>
      </c>
      <c r="H49" s="87" t="n">
        <f aca="false">IFERROR(F49/SUM($F$5:$F$104),0)</f>
        <v>0</v>
      </c>
      <c r="I49" s="70"/>
    </row>
    <row r="50" customFormat="false" ht="15" hidden="false" customHeight="true" outlineLevel="0" collapsed="false">
      <c r="A50" s="66"/>
      <c r="B50" s="68"/>
      <c r="C50" s="66"/>
      <c r="D50" s="65"/>
      <c r="E50" s="67"/>
      <c r="F50" s="67"/>
      <c r="G50" s="87" t="n">
        <f aca="false">IFERROR(F50/E50-1,0)</f>
        <v>0</v>
      </c>
      <c r="H50" s="87" t="n">
        <f aca="false">IFERROR(F50/SUM($F$5:$F$104),0)</f>
        <v>0</v>
      </c>
      <c r="I50" s="70"/>
    </row>
    <row r="51" customFormat="false" ht="15" hidden="false" customHeight="true" outlineLevel="0" collapsed="false">
      <c r="A51" s="66"/>
      <c r="B51" s="68"/>
      <c r="C51" s="66"/>
      <c r="D51" s="65"/>
      <c r="E51" s="67"/>
      <c r="F51" s="67"/>
      <c r="G51" s="87" t="n">
        <f aca="false">IFERROR(F51/E51-1,0)</f>
        <v>0</v>
      </c>
      <c r="H51" s="87" t="n">
        <f aca="false">IFERROR(F51/SUM($F$5:$F$104),0)</f>
        <v>0</v>
      </c>
      <c r="I51" s="70"/>
    </row>
    <row r="52" customFormat="false" ht="15" hidden="false" customHeight="true" outlineLevel="0" collapsed="false">
      <c r="A52" s="66"/>
      <c r="B52" s="68"/>
      <c r="C52" s="66"/>
      <c r="D52" s="65"/>
      <c r="E52" s="67"/>
      <c r="F52" s="67"/>
      <c r="G52" s="87" t="n">
        <f aca="false">IFERROR(F52/E52-1,0)</f>
        <v>0</v>
      </c>
      <c r="H52" s="87" t="n">
        <f aca="false">IFERROR(F52/SUM($F$5:$F$104),0)</f>
        <v>0</v>
      </c>
      <c r="I52" s="70"/>
    </row>
    <row r="53" customFormat="false" ht="15" hidden="false" customHeight="true" outlineLevel="0" collapsed="false">
      <c r="A53" s="66"/>
      <c r="B53" s="68"/>
      <c r="C53" s="66"/>
      <c r="D53" s="65"/>
      <c r="E53" s="67"/>
      <c r="F53" s="67"/>
      <c r="G53" s="87" t="n">
        <f aca="false">IFERROR(F53/E53-1,0)</f>
        <v>0</v>
      </c>
      <c r="H53" s="87" t="n">
        <f aca="false">IFERROR(F53/SUM($F$5:$F$104),0)</f>
        <v>0</v>
      </c>
      <c r="I53" s="70"/>
    </row>
    <row r="54" customFormat="false" ht="15" hidden="false" customHeight="true" outlineLevel="0" collapsed="false">
      <c r="A54" s="66"/>
      <c r="B54" s="68"/>
      <c r="C54" s="66"/>
      <c r="D54" s="65"/>
      <c r="E54" s="67"/>
      <c r="F54" s="67"/>
      <c r="G54" s="87" t="n">
        <f aca="false">IFERROR(F54/E54-1,0)</f>
        <v>0</v>
      </c>
      <c r="H54" s="87" t="n">
        <f aca="false">IFERROR(F54/SUM($F$5:$F$104),0)</f>
        <v>0</v>
      </c>
      <c r="I54" s="70"/>
    </row>
    <row r="55" customFormat="false" ht="15" hidden="false" customHeight="true" outlineLevel="0" collapsed="false">
      <c r="A55" s="66"/>
      <c r="B55" s="68"/>
      <c r="C55" s="66"/>
      <c r="D55" s="65"/>
      <c r="E55" s="67"/>
      <c r="F55" s="67"/>
      <c r="G55" s="87" t="n">
        <f aca="false">IFERROR(F55/E55-1,0)</f>
        <v>0</v>
      </c>
      <c r="H55" s="87" t="n">
        <f aca="false">IFERROR(F55/SUM($F$5:$F$104),0)</f>
        <v>0</v>
      </c>
      <c r="I55" s="70"/>
    </row>
    <row r="56" customFormat="false" ht="15" hidden="false" customHeight="true" outlineLevel="0" collapsed="false">
      <c r="A56" s="66"/>
      <c r="B56" s="68"/>
      <c r="C56" s="66"/>
      <c r="D56" s="65"/>
      <c r="E56" s="67"/>
      <c r="F56" s="67"/>
      <c r="G56" s="87" t="n">
        <f aca="false">IFERROR(F56/E56-1,0)</f>
        <v>0</v>
      </c>
      <c r="H56" s="87" t="n">
        <f aca="false">IFERROR(F56/SUM($F$5:$F$104),0)</f>
        <v>0</v>
      </c>
      <c r="I56" s="70"/>
    </row>
    <row r="57" customFormat="false" ht="15" hidden="false" customHeight="true" outlineLevel="0" collapsed="false">
      <c r="A57" s="66"/>
      <c r="B57" s="68"/>
      <c r="C57" s="66"/>
      <c r="D57" s="65"/>
      <c r="E57" s="67"/>
      <c r="F57" s="67"/>
      <c r="G57" s="87" t="n">
        <f aca="false">IFERROR(F57/E57-1,0)</f>
        <v>0</v>
      </c>
      <c r="H57" s="87" t="n">
        <f aca="false">IFERROR(F57/SUM($F$5:$F$104),0)</f>
        <v>0</v>
      </c>
      <c r="I57" s="70"/>
    </row>
    <row r="58" customFormat="false" ht="15" hidden="false" customHeight="true" outlineLevel="0" collapsed="false">
      <c r="A58" s="66"/>
      <c r="B58" s="68"/>
      <c r="C58" s="66"/>
      <c r="D58" s="65"/>
      <c r="E58" s="67"/>
      <c r="F58" s="67"/>
      <c r="G58" s="87" t="n">
        <f aca="false">IFERROR(F58/E58-1,0)</f>
        <v>0</v>
      </c>
      <c r="H58" s="87" t="n">
        <f aca="false">IFERROR(F58/SUM($F$5:$F$104),0)</f>
        <v>0</v>
      </c>
      <c r="I58" s="70"/>
    </row>
    <row r="59" customFormat="false" ht="15" hidden="false" customHeight="true" outlineLevel="0" collapsed="false">
      <c r="A59" s="66"/>
      <c r="B59" s="68"/>
      <c r="C59" s="66"/>
      <c r="D59" s="65"/>
      <c r="E59" s="67"/>
      <c r="F59" s="67"/>
      <c r="G59" s="87" t="n">
        <f aca="false">IFERROR(F59/E59-1,0)</f>
        <v>0</v>
      </c>
      <c r="H59" s="87" t="n">
        <f aca="false">IFERROR(F59/SUM($F$5:$F$104),0)</f>
        <v>0</v>
      </c>
      <c r="I59" s="70"/>
    </row>
    <row r="60" customFormat="false" ht="15" hidden="false" customHeight="true" outlineLevel="0" collapsed="false">
      <c r="A60" s="66"/>
      <c r="B60" s="68"/>
      <c r="C60" s="66"/>
      <c r="D60" s="65"/>
      <c r="E60" s="67"/>
      <c r="F60" s="67"/>
      <c r="G60" s="87" t="n">
        <f aca="false">IFERROR(F60/E60-1,0)</f>
        <v>0</v>
      </c>
      <c r="H60" s="87" t="n">
        <f aca="false">IFERROR(F60/SUM($F$5:$F$104),0)</f>
        <v>0</v>
      </c>
      <c r="I60" s="70"/>
    </row>
    <row r="61" customFormat="false" ht="15" hidden="false" customHeight="true" outlineLevel="0" collapsed="false">
      <c r="A61" s="66"/>
      <c r="B61" s="68"/>
      <c r="C61" s="66"/>
      <c r="D61" s="65"/>
      <c r="E61" s="67"/>
      <c r="F61" s="67"/>
      <c r="G61" s="88" t="n">
        <f aca="false">IFERROR(F61/E61-1,0)</f>
        <v>0</v>
      </c>
      <c r="H61" s="88" t="n">
        <f aca="false">IFERROR(F61/SUM($F$5:$F$104),0)</f>
        <v>0</v>
      </c>
      <c r="I61" s="70"/>
    </row>
    <row r="62" customFormat="false" ht="15" hidden="false" customHeight="true" outlineLevel="0" collapsed="false">
      <c r="A62" s="66"/>
      <c r="B62" s="68"/>
      <c r="C62" s="66"/>
      <c r="D62" s="65"/>
      <c r="E62" s="67"/>
      <c r="F62" s="67"/>
      <c r="G62" s="88" t="n">
        <f aca="false">IFERROR(F62/E62-1,0)</f>
        <v>0</v>
      </c>
      <c r="H62" s="88" t="n">
        <f aca="false">IFERROR(F62/SUM($F$5:$F$104),0)</f>
        <v>0</v>
      </c>
      <c r="I62" s="70"/>
    </row>
    <row r="63" customFormat="false" ht="15" hidden="false" customHeight="true" outlineLevel="0" collapsed="false">
      <c r="A63" s="66"/>
      <c r="B63" s="68"/>
      <c r="C63" s="66"/>
      <c r="D63" s="65"/>
      <c r="E63" s="67"/>
      <c r="F63" s="67"/>
      <c r="G63" s="88" t="n">
        <f aca="false">IFERROR(F63/E63-1,0)</f>
        <v>0</v>
      </c>
      <c r="H63" s="88" t="n">
        <f aca="false">IFERROR(F63/SUM($F$5:$F$104),0)</f>
        <v>0</v>
      </c>
      <c r="I63" s="70"/>
    </row>
    <row r="64" customFormat="false" ht="15" hidden="false" customHeight="true" outlineLevel="0" collapsed="false">
      <c r="A64" s="66"/>
      <c r="B64" s="68"/>
      <c r="C64" s="66"/>
      <c r="D64" s="65"/>
      <c r="E64" s="67"/>
      <c r="F64" s="67"/>
      <c r="G64" s="88" t="n">
        <f aca="false">IFERROR(F64/E64-1,0)</f>
        <v>0</v>
      </c>
      <c r="H64" s="88" t="n">
        <f aca="false">IFERROR(F64/SUM($F$5:$F$104),0)</f>
        <v>0</v>
      </c>
      <c r="I64" s="70"/>
    </row>
    <row r="65" customFormat="false" ht="15" hidden="false" customHeight="true" outlineLevel="0" collapsed="false">
      <c r="A65" s="66"/>
      <c r="B65" s="68"/>
      <c r="C65" s="66"/>
      <c r="D65" s="65"/>
      <c r="E65" s="67"/>
      <c r="F65" s="67"/>
      <c r="G65" s="88" t="n">
        <f aca="false">IFERROR(F65/E65-1,0)</f>
        <v>0</v>
      </c>
      <c r="H65" s="88" t="n">
        <f aca="false">IFERROR(F65/SUM($F$5:$F$104),0)</f>
        <v>0</v>
      </c>
      <c r="I65" s="70"/>
    </row>
    <row r="66" customFormat="false" ht="15" hidden="false" customHeight="true" outlineLevel="0" collapsed="false">
      <c r="A66" s="66"/>
      <c r="B66" s="68"/>
      <c r="C66" s="66"/>
      <c r="D66" s="65"/>
      <c r="E66" s="67"/>
      <c r="F66" s="67"/>
      <c r="G66" s="88" t="n">
        <f aca="false">IFERROR(F66/E66-1,0)</f>
        <v>0</v>
      </c>
      <c r="H66" s="88" t="n">
        <f aca="false">IFERROR(F66/SUM($F$5:$F$104),0)</f>
        <v>0</v>
      </c>
      <c r="I66" s="70"/>
    </row>
    <row r="67" customFormat="false" ht="15" hidden="false" customHeight="true" outlineLevel="0" collapsed="false">
      <c r="A67" s="66"/>
      <c r="B67" s="68"/>
      <c r="C67" s="66"/>
      <c r="D67" s="65"/>
      <c r="E67" s="67"/>
      <c r="F67" s="67"/>
      <c r="G67" s="88" t="n">
        <f aca="false">IFERROR(F67/E67-1,0)</f>
        <v>0</v>
      </c>
      <c r="H67" s="88" t="n">
        <f aca="false">IFERROR(F67/SUM($F$5:$F$104),0)</f>
        <v>0</v>
      </c>
      <c r="I67" s="70"/>
    </row>
    <row r="68" customFormat="false" ht="15" hidden="false" customHeight="true" outlineLevel="0" collapsed="false">
      <c r="A68" s="66"/>
      <c r="B68" s="68"/>
      <c r="C68" s="66"/>
      <c r="D68" s="65"/>
      <c r="E68" s="67"/>
      <c r="F68" s="67"/>
      <c r="G68" s="88" t="n">
        <f aca="false">IFERROR(F68/E68-1,0)</f>
        <v>0</v>
      </c>
      <c r="H68" s="88" t="n">
        <f aca="false">IFERROR(F68/SUM($F$5:$F$104),0)</f>
        <v>0</v>
      </c>
      <c r="I68" s="70"/>
    </row>
    <row r="69" customFormat="false" ht="15" hidden="false" customHeight="true" outlineLevel="0" collapsed="false">
      <c r="A69" s="66"/>
      <c r="B69" s="68"/>
      <c r="C69" s="66"/>
      <c r="D69" s="65"/>
      <c r="E69" s="67"/>
      <c r="F69" s="67"/>
      <c r="G69" s="88" t="n">
        <f aca="false">IFERROR(F69/E69-1,0)</f>
        <v>0</v>
      </c>
      <c r="H69" s="88" t="n">
        <f aca="false">IFERROR(F69/SUM($F$5:$F$104),0)</f>
        <v>0</v>
      </c>
      <c r="I69" s="70"/>
    </row>
    <row r="70" customFormat="false" ht="15" hidden="false" customHeight="true" outlineLevel="0" collapsed="false">
      <c r="A70" s="66"/>
      <c r="B70" s="68"/>
      <c r="C70" s="66"/>
      <c r="D70" s="65"/>
      <c r="E70" s="67"/>
      <c r="F70" s="67"/>
      <c r="G70" s="88" t="n">
        <f aca="false">IFERROR(F70/E70-1,0)</f>
        <v>0</v>
      </c>
      <c r="H70" s="88" t="n">
        <f aca="false">IFERROR(F70/SUM($F$5:$F$104),0)</f>
        <v>0</v>
      </c>
      <c r="I70" s="70"/>
    </row>
    <row r="71" customFormat="false" ht="15" hidden="false" customHeight="true" outlineLevel="0" collapsed="false">
      <c r="A71" s="66"/>
      <c r="B71" s="68"/>
      <c r="C71" s="66"/>
      <c r="D71" s="65"/>
      <c r="E71" s="67"/>
      <c r="F71" s="67"/>
      <c r="G71" s="88" t="n">
        <f aca="false">IFERROR(F71/E71-1,0)</f>
        <v>0</v>
      </c>
      <c r="H71" s="88" t="n">
        <f aca="false">IFERROR(F71/SUM($F$5:$F$104),0)</f>
        <v>0</v>
      </c>
      <c r="I71" s="70"/>
    </row>
    <row r="72" customFormat="false" ht="15" hidden="false" customHeight="true" outlineLevel="0" collapsed="false">
      <c r="A72" s="66"/>
      <c r="B72" s="68"/>
      <c r="C72" s="66"/>
      <c r="D72" s="65"/>
      <c r="E72" s="67"/>
      <c r="F72" s="67"/>
      <c r="G72" s="88" t="n">
        <f aca="false">IFERROR(F72/E72-1,0)</f>
        <v>0</v>
      </c>
      <c r="H72" s="88" t="n">
        <f aca="false">IFERROR(F72/SUM($F$5:$F$104),0)</f>
        <v>0</v>
      </c>
      <c r="I72" s="70"/>
    </row>
    <row r="73" customFormat="false" ht="15" hidden="false" customHeight="true" outlineLevel="0" collapsed="false">
      <c r="A73" s="66"/>
      <c r="B73" s="68"/>
      <c r="C73" s="66"/>
      <c r="D73" s="65"/>
      <c r="E73" s="67"/>
      <c r="F73" s="67"/>
      <c r="G73" s="88" t="n">
        <f aca="false">IFERROR(F73/E73-1,0)</f>
        <v>0</v>
      </c>
      <c r="H73" s="88" t="n">
        <f aca="false">IFERROR(F73/SUM($F$5:$F$104),0)</f>
        <v>0</v>
      </c>
      <c r="I73" s="70"/>
    </row>
    <row r="74" customFormat="false" ht="15" hidden="false" customHeight="true" outlineLevel="0" collapsed="false">
      <c r="A74" s="66"/>
      <c r="B74" s="68"/>
      <c r="C74" s="66"/>
      <c r="D74" s="65"/>
      <c r="E74" s="67"/>
      <c r="F74" s="67"/>
      <c r="G74" s="88" t="n">
        <f aca="false">IFERROR(F74/E74-1,0)</f>
        <v>0</v>
      </c>
      <c r="H74" s="88" t="n">
        <f aca="false">IFERROR(F74/SUM($F$5:$F$104),0)</f>
        <v>0</v>
      </c>
      <c r="I74" s="70"/>
    </row>
    <row r="75" customFormat="false" ht="15" hidden="false" customHeight="true" outlineLevel="0" collapsed="false">
      <c r="A75" s="66"/>
      <c r="B75" s="68"/>
      <c r="C75" s="66"/>
      <c r="D75" s="65"/>
      <c r="E75" s="67"/>
      <c r="F75" s="67"/>
      <c r="G75" s="88" t="n">
        <f aca="false">IFERROR(F75/E75-1,0)</f>
        <v>0</v>
      </c>
      <c r="H75" s="88" t="n">
        <f aca="false">IFERROR(F75/SUM($F$5:$F$104),0)</f>
        <v>0</v>
      </c>
      <c r="I75" s="70"/>
    </row>
    <row r="76" customFormat="false" ht="15" hidden="false" customHeight="true" outlineLevel="0" collapsed="false">
      <c r="A76" s="66"/>
      <c r="B76" s="68"/>
      <c r="C76" s="66"/>
      <c r="D76" s="65"/>
      <c r="E76" s="67"/>
      <c r="F76" s="67"/>
      <c r="G76" s="88" t="n">
        <f aca="false">IFERROR(F76/E76-1,0)</f>
        <v>0</v>
      </c>
      <c r="H76" s="88" t="n">
        <f aca="false">IFERROR(F76/SUM($F$5:$F$104),0)</f>
        <v>0</v>
      </c>
      <c r="I76" s="70"/>
    </row>
    <row r="77" customFormat="false" ht="15" hidden="false" customHeight="true" outlineLevel="0" collapsed="false">
      <c r="A77" s="66"/>
      <c r="B77" s="68"/>
      <c r="C77" s="66"/>
      <c r="D77" s="65"/>
      <c r="E77" s="67"/>
      <c r="F77" s="67"/>
      <c r="G77" s="88" t="n">
        <f aca="false">IFERROR(F77/E77-1,0)</f>
        <v>0</v>
      </c>
      <c r="H77" s="88" t="n">
        <f aca="false">IFERROR(F77/SUM($F$5:$F$104),0)</f>
        <v>0</v>
      </c>
      <c r="I77" s="70"/>
    </row>
    <row r="78" customFormat="false" ht="15" hidden="false" customHeight="true" outlineLevel="0" collapsed="false">
      <c r="A78" s="66"/>
      <c r="B78" s="68"/>
      <c r="C78" s="66"/>
      <c r="D78" s="65"/>
      <c r="E78" s="67"/>
      <c r="F78" s="67"/>
      <c r="G78" s="88" t="n">
        <f aca="false">IFERROR(F78/E78-1,0)</f>
        <v>0</v>
      </c>
      <c r="H78" s="88" t="n">
        <f aca="false">IFERROR(F78/SUM($F$5:$F$104),0)</f>
        <v>0</v>
      </c>
      <c r="I78" s="70"/>
    </row>
    <row r="79" customFormat="false" ht="15" hidden="false" customHeight="true" outlineLevel="0" collapsed="false">
      <c r="A79" s="66"/>
      <c r="B79" s="68"/>
      <c r="C79" s="66"/>
      <c r="D79" s="65"/>
      <c r="E79" s="67"/>
      <c r="F79" s="67"/>
      <c r="G79" s="88" t="n">
        <f aca="false">IFERROR(F79/E79-1,0)</f>
        <v>0</v>
      </c>
      <c r="H79" s="88" t="n">
        <f aca="false">IFERROR(F79/SUM($F$5:$F$104),0)</f>
        <v>0</v>
      </c>
      <c r="I79" s="70"/>
    </row>
    <row r="80" customFormat="false" ht="15" hidden="false" customHeight="true" outlineLevel="0" collapsed="false">
      <c r="A80" s="66"/>
      <c r="B80" s="68"/>
      <c r="C80" s="66"/>
      <c r="D80" s="65"/>
      <c r="E80" s="67"/>
      <c r="F80" s="67"/>
      <c r="G80" s="88" t="n">
        <f aca="false">IFERROR(F80/E80-1,0)</f>
        <v>0</v>
      </c>
      <c r="H80" s="88" t="n">
        <f aca="false">IFERROR(F80/SUM($F$5:$F$104),0)</f>
        <v>0</v>
      </c>
      <c r="I80" s="70"/>
    </row>
    <row r="81" customFormat="false" ht="15" hidden="false" customHeight="true" outlineLevel="0" collapsed="false">
      <c r="A81" s="66"/>
      <c r="B81" s="68"/>
      <c r="C81" s="66"/>
      <c r="D81" s="65"/>
      <c r="E81" s="67"/>
      <c r="F81" s="67"/>
      <c r="G81" s="88" t="n">
        <f aca="false">IFERROR(F81/E81-1,0)</f>
        <v>0</v>
      </c>
      <c r="H81" s="88" t="n">
        <f aca="false">IFERROR(F81/SUM($F$5:$F$104),0)</f>
        <v>0</v>
      </c>
      <c r="I81" s="70"/>
    </row>
    <row r="82" customFormat="false" ht="15" hidden="false" customHeight="true" outlineLevel="0" collapsed="false">
      <c r="A82" s="66"/>
      <c r="B82" s="68"/>
      <c r="C82" s="66"/>
      <c r="D82" s="65"/>
      <c r="E82" s="67"/>
      <c r="F82" s="67"/>
      <c r="G82" s="88" t="n">
        <f aca="false">IFERROR(F82/E82-1,0)</f>
        <v>0</v>
      </c>
      <c r="H82" s="88" t="n">
        <f aca="false">IFERROR(F82/SUM($F$5:$F$104),0)</f>
        <v>0</v>
      </c>
      <c r="I82" s="70"/>
    </row>
    <row r="83" customFormat="false" ht="15" hidden="false" customHeight="true" outlineLevel="0" collapsed="false">
      <c r="A83" s="66"/>
      <c r="B83" s="68"/>
      <c r="C83" s="66"/>
      <c r="D83" s="65"/>
      <c r="E83" s="67"/>
      <c r="F83" s="67"/>
      <c r="G83" s="88" t="n">
        <f aca="false">IFERROR(F83/E83-1,0)</f>
        <v>0</v>
      </c>
      <c r="H83" s="88" t="n">
        <f aca="false">IFERROR(F83/SUM($F$5:$F$104),0)</f>
        <v>0</v>
      </c>
      <c r="I83" s="70"/>
    </row>
    <row r="84" customFormat="false" ht="15" hidden="false" customHeight="true" outlineLevel="0" collapsed="false">
      <c r="A84" s="66"/>
      <c r="B84" s="68"/>
      <c r="C84" s="66"/>
      <c r="D84" s="65"/>
      <c r="E84" s="67"/>
      <c r="F84" s="67"/>
      <c r="G84" s="88" t="n">
        <f aca="false">IFERROR(F84/E84-1,0)</f>
        <v>0</v>
      </c>
      <c r="H84" s="88" t="n">
        <f aca="false">IFERROR(F84/SUM($F$5:$F$104),0)</f>
        <v>0</v>
      </c>
      <c r="I84" s="70"/>
    </row>
    <row r="85" customFormat="false" ht="15" hidden="false" customHeight="true" outlineLevel="0" collapsed="false">
      <c r="A85" s="66"/>
      <c r="B85" s="68"/>
      <c r="C85" s="66"/>
      <c r="D85" s="65"/>
      <c r="E85" s="67"/>
      <c r="F85" s="67"/>
      <c r="G85" s="88" t="n">
        <f aca="false">IFERROR(F85/E85-1,0)</f>
        <v>0</v>
      </c>
      <c r="H85" s="88" t="n">
        <f aca="false">IFERROR(F85/SUM($F$5:$F$104),0)</f>
        <v>0</v>
      </c>
      <c r="I85" s="70"/>
    </row>
    <row r="86" customFormat="false" ht="15" hidden="false" customHeight="true" outlineLevel="0" collapsed="false">
      <c r="A86" s="66"/>
      <c r="B86" s="68"/>
      <c r="C86" s="66"/>
      <c r="D86" s="65"/>
      <c r="E86" s="67"/>
      <c r="F86" s="67"/>
      <c r="G86" s="88" t="n">
        <f aca="false">IFERROR(F86/E86-1,0)</f>
        <v>0</v>
      </c>
      <c r="H86" s="88" t="n">
        <f aca="false">IFERROR(F86/SUM($F$5:$F$104),0)</f>
        <v>0</v>
      </c>
      <c r="I86" s="70"/>
    </row>
    <row r="87" customFormat="false" ht="15" hidden="false" customHeight="true" outlineLevel="0" collapsed="false">
      <c r="A87" s="66"/>
      <c r="B87" s="68"/>
      <c r="C87" s="66"/>
      <c r="D87" s="65"/>
      <c r="E87" s="67"/>
      <c r="F87" s="67"/>
      <c r="G87" s="88" t="n">
        <f aca="false">IFERROR(F87/E87-1,0)</f>
        <v>0</v>
      </c>
      <c r="H87" s="88" t="n">
        <f aca="false">IFERROR(F87/SUM($F$5:$F$104),0)</f>
        <v>0</v>
      </c>
      <c r="I87" s="70"/>
    </row>
    <row r="88" customFormat="false" ht="15" hidden="false" customHeight="true" outlineLevel="0" collapsed="false">
      <c r="A88" s="66"/>
      <c r="B88" s="68"/>
      <c r="C88" s="66"/>
      <c r="D88" s="65"/>
      <c r="E88" s="67"/>
      <c r="F88" s="67"/>
      <c r="G88" s="88" t="n">
        <f aca="false">IFERROR(F88/E88-1,0)</f>
        <v>0</v>
      </c>
      <c r="H88" s="88" t="n">
        <f aca="false">IFERROR(F88/SUM($F$5:$F$104),0)</f>
        <v>0</v>
      </c>
      <c r="I88" s="70"/>
    </row>
    <row r="89" customFormat="false" ht="15" hidden="false" customHeight="true" outlineLevel="0" collapsed="false">
      <c r="A89" s="66"/>
      <c r="B89" s="68"/>
      <c r="C89" s="66"/>
      <c r="D89" s="65"/>
      <c r="E89" s="67"/>
      <c r="F89" s="67"/>
      <c r="G89" s="88" t="n">
        <f aca="false">IFERROR(F89/E89-1,0)</f>
        <v>0</v>
      </c>
      <c r="H89" s="88" t="n">
        <f aca="false">IFERROR(F89/SUM($F$5:$F$104),0)</f>
        <v>0</v>
      </c>
      <c r="I89" s="70"/>
    </row>
    <row r="90" customFormat="false" ht="15" hidden="false" customHeight="true" outlineLevel="0" collapsed="false">
      <c r="A90" s="66"/>
      <c r="B90" s="68"/>
      <c r="C90" s="66"/>
      <c r="D90" s="65"/>
      <c r="E90" s="67"/>
      <c r="F90" s="67"/>
      <c r="G90" s="88" t="n">
        <f aca="false">IFERROR(F90/E90-1,0)</f>
        <v>0</v>
      </c>
      <c r="H90" s="88" t="n">
        <f aca="false">IFERROR(F90/SUM($F$5:$F$104),0)</f>
        <v>0</v>
      </c>
      <c r="I90" s="70"/>
    </row>
    <row r="91" customFormat="false" ht="15" hidden="false" customHeight="true" outlineLevel="0" collapsed="false">
      <c r="A91" s="66"/>
      <c r="B91" s="68"/>
      <c r="C91" s="66"/>
      <c r="D91" s="65"/>
      <c r="E91" s="67"/>
      <c r="F91" s="67"/>
      <c r="G91" s="88" t="n">
        <f aca="false">IFERROR(F91/E91-1,0)</f>
        <v>0</v>
      </c>
      <c r="H91" s="88" t="n">
        <f aca="false">IFERROR(F91/SUM($F$5:$F$104),0)</f>
        <v>0</v>
      </c>
      <c r="I91" s="70"/>
    </row>
    <row r="92" customFormat="false" ht="15" hidden="false" customHeight="true" outlineLevel="0" collapsed="false">
      <c r="A92" s="66"/>
      <c r="B92" s="68"/>
      <c r="C92" s="66"/>
      <c r="D92" s="65"/>
      <c r="E92" s="67"/>
      <c r="F92" s="67"/>
      <c r="G92" s="88" t="n">
        <f aca="false">IFERROR(F92/E92-1,0)</f>
        <v>0</v>
      </c>
      <c r="H92" s="88" t="n">
        <f aca="false">IFERROR(F92/SUM($F$5:$F$104),0)</f>
        <v>0</v>
      </c>
      <c r="I92" s="70"/>
    </row>
    <row r="93" customFormat="false" ht="15" hidden="false" customHeight="true" outlineLevel="0" collapsed="false">
      <c r="A93" s="66"/>
      <c r="B93" s="68"/>
      <c r="C93" s="66"/>
      <c r="D93" s="65"/>
      <c r="E93" s="67"/>
      <c r="F93" s="67"/>
      <c r="G93" s="88" t="n">
        <f aca="false">IFERROR(F93/E93-1,0)</f>
        <v>0</v>
      </c>
      <c r="H93" s="88" t="n">
        <f aca="false">IFERROR(F93/SUM($F$5:$F$104),0)</f>
        <v>0</v>
      </c>
      <c r="I93" s="70"/>
    </row>
    <row r="94" customFormat="false" ht="15" hidden="false" customHeight="true" outlineLevel="0" collapsed="false">
      <c r="A94" s="66"/>
      <c r="B94" s="68"/>
      <c r="C94" s="66"/>
      <c r="D94" s="65"/>
      <c r="E94" s="67"/>
      <c r="F94" s="67"/>
      <c r="G94" s="88" t="n">
        <f aca="false">IFERROR(F94/E94-1,0)</f>
        <v>0</v>
      </c>
      <c r="H94" s="88" t="n">
        <f aca="false">IFERROR(F94/SUM($F$5:$F$104),0)</f>
        <v>0</v>
      </c>
      <c r="I94" s="70"/>
    </row>
    <row r="95" customFormat="false" ht="15" hidden="false" customHeight="true" outlineLevel="0" collapsed="false">
      <c r="A95" s="66"/>
      <c r="B95" s="68"/>
      <c r="C95" s="66"/>
      <c r="D95" s="65"/>
      <c r="E95" s="67"/>
      <c r="F95" s="67"/>
      <c r="G95" s="88" t="n">
        <f aca="false">IFERROR(F95/E95-1,0)</f>
        <v>0</v>
      </c>
      <c r="H95" s="88" t="n">
        <f aca="false">IFERROR(F95/SUM($F$5:$F$104),0)</f>
        <v>0</v>
      </c>
      <c r="I95" s="70"/>
    </row>
    <row r="96" customFormat="false" ht="15" hidden="false" customHeight="true" outlineLevel="0" collapsed="false">
      <c r="A96" s="66"/>
      <c r="B96" s="68"/>
      <c r="C96" s="66"/>
      <c r="D96" s="65"/>
      <c r="E96" s="67"/>
      <c r="F96" s="67"/>
      <c r="G96" s="88" t="n">
        <f aca="false">IFERROR(F96/E96-1,0)</f>
        <v>0</v>
      </c>
      <c r="H96" s="88" t="n">
        <f aca="false">IFERROR(F96/SUM($F$5:$F$104),0)</f>
        <v>0</v>
      </c>
      <c r="I96" s="70"/>
    </row>
    <row r="97" customFormat="false" ht="15" hidden="false" customHeight="true" outlineLevel="0" collapsed="false">
      <c r="A97" s="66"/>
      <c r="B97" s="68"/>
      <c r="C97" s="66"/>
      <c r="D97" s="65"/>
      <c r="E97" s="67"/>
      <c r="F97" s="67"/>
      <c r="G97" s="88" t="n">
        <f aca="false">IFERROR(F97/E97-1,0)</f>
        <v>0</v>
      </c>
      <c r="H97" s="88" t="n">
        <f aca="false">IFERROR(F97/SUM($F$5:$F$104),0)</f>
        <v>0</v>
      </c>
      <c r="I97" s="70"/>
    </row>
    <row r="98" customFormat="false" ht="15" hidden="false" customHeight="true" outlineLevel="0" collapsed="false">
      <c r="A98" s="66"/>
      <c r="B98" s="68"/>
      <c r="C98" s="66"/>
      <c r="D98" s="65"/>
      <c r="E98" s="67"/>
      <c r="F98" s="67"/>
      <c r="G98" s="88" t="n">
        <f aca="false">IFERROR(F98/E98-1,0)</f>
        <v>0</v>
      </c>
      <c r="H98" s="88" t="n">
        <f aca="false">IFERROR(F98/SUM($F$5:$F$104),0)</f>
        <v>0</v>
      </c>
      <c r="I98" s="70"/>
    </row>
    <row r="99" customFormat="false" ht="15" hidden="false" customHeight="true" outlineLevel="0" collapsed="false">
      <c r="A99" s="66"/>
      <c r="B99" s="68"/>
      <c r="C99" s="66"/>
      <c r="D99" s="65"/>
      <c r="E99" s="67"/>
      <c r="F99" s="67"/>
      <c r="G99" s="88" t="n">
        <f aca="false">IFERROR(F99/E99-1,0)</f>
        <v>0</v>
      </c>
      <c r="H99" s="88" t="n">
        <f aca="false">IFERROR(F99/SUM($F$5:$F$104),0)</f>
        <v>0</v>
      </c>
      <c r="I99" s="70"/>
    </row>
    <row r="100" customFormat="false" ht="15" hidden="false" customHeight="true" outlineLevel="0" collapsed="false">
      <c r="A100" s="66"/>
      <c r="B100" s="68"/>
      <c r="C100" s="66"/>
      <c r="D100" s="65"/>
      <c r="E100" s="67"/>
      <c r="F100" s="67"/>
      <c r="G100" s="88" t="n">
        <f aca="false">IFERROR(F100/E100-1,0)</f>
        <v>0</v>
      </c>
      <c r="H100" s="88" t="n">
        <f aca="false">IFERROR(F100/SUM($F$5:$F$104),0)</f>
        <v>0</v>
      </c>
      <c r="I100" s="70"/>
    </row>
    <row r="101" customFormat="false" ht="15" hidden="false" customHeight="true" outlineLevel="0" collapsed="false">
      <c r="A101" s="66"/>
      <c r="B101" s="68"/>
      <c r="C101" s="66"/>
      <c r="D101" s="65"/>
      <c r="E101" s="67"/>
      <c r="F101" s="67"/>
      <c r="G101" s="88" t="n">
        <f aca="false">IFERROR(F101/E101-1,0)</f>
        <v>0</v>
      </c>
      <c r="H101" s="88" t="n">
        <f aca="false">IFERROR(F101/SUM($F$5:$F$104),0)</f>
        <v>0</v>
      </c>
      <c r="I101" s="70"/>
    </row>
    <row r="102" customFormat="false" ht="15" hidden="false" customHeight="true" outlineLevel="0" collapsed="false">
      <c r="A102" s="66"/>
      <c r="B102" s="68"/>
      <c r="C102" s="66"/>
      <c r="D102" s="65"/>
      <c r="E102" s="67"/>
      <c r="F102" s="67"/>
      <c r="G102" s="88" t="n">
        <f aca="false">IFERROR(F102/E102-1,0)</f>
        <v>0</v>
      </c>
      <c r="H102" s="88" t="n">
        <f aca="false">IFERROR(F102/SUM($F$5:$F$104),0)</f>
        <v>0</v>
      </c>
      <c r="I102" s="70"/>
    </row>
    <row r="103" customFormat="false" ht="15" hidden="false" customHeight="true" outlineLevel="0" collapsed="false">
      <c r="A103" s="66"/>
      <c r="B103" s="68"/>
      <c r="C103" s="66"/>
      <c r="D103" s="65"/>
      <c r="E103" s="67"/>
      <c r="F103" s="67"/>
      <c r="G103" s="88" t="n">
        <f aca="false">IFERROR(F103/E103-1,0)</f>
        <v>0</v>
      </c>
      <c r="H103" s="88" t="n">
        <f aca="false">IFERROR(F103/SUM($F$5:$F$104),0)</f>
        <v>0</v>
      </c>
      <c r="I103" s="70"/>
    </row>
    <row r="104" customFormat="false" ht="15" hidden="false" customHeight="true" outlineLevel="0" collapsed="false">
      <c r="A104" s="70"/>
      <c r="B104" s="70"/>
      <c r="C104" s="70"/>
      <c r="D104" s="69"/>
      <c r="E104" s="71"/>
      <c r="F104" s="71"/>
      <c r="G104" s="88" t="n">
        <f aca="false">IFERROR(F104/E104-1,0)</f>
        <v>0</v>
      </c>
      <c r="H104" s="88" t="n">
        <f aca="false">IFERROR(F104/SUM($F$5:$F$104),0)</f>
        <v>0</v>
      </c>
      <c r="I104" s="70"/>
    </row>
  </sheetData>
  <sheetProtection sheet="true" selectLockedCells="true" selectUnlockedCells="true"/>
  <autoFilter ref="A4:I104"/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B4" type="list">
      <formula1>Configurações!$E$4:$E$10</formula1>
      <formula2>0</formula2>
    </dataValidation>
    <dataValidation allowBlank="true" errorStyle="stop" operator="between" showDropDown="false" showErrorMessage="false" showInputMessage="false" sqref="B5:B104" type="list">
      <formula1>Configurações!$E$5:$E$14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ns0:worksheet xmlns:ns0="http://schemas.openxmlformats.org/spreadsheetml/2006/main" xmlns:ns1="http://schemas.openxmlformats.org/officeDocument/2006/relationships">
  <ns0:sheetPr filterMode="false">
    <ns0:pageSetUpPr fitToPage="true"/>
  </ns0:sheetPr>
  <ns0:dimension ref="A1:H104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4" topLeftCell="A5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true" zeroHeight="false" outlineLevelRow="0" outlineLevelCol="0"/>
  <ns0:cols>
    <ns0:col collapsed="false" customWidth="true" hidden="false" outlineLevel="0" max="1" min="1" style="24" width="14"/>
    <ns0:col collapsed="false" customWidth="true" hidden="false" outlineLevel="0" max="2" min="2" style="24" width="20"/>
    <ns0:col collapsed="false" customWidth="true" hidden="false" outlineLevel="0" max="3" min="3" style="24" width="30"/>
    <ns0:col collapsed="false" customWidth="true" hidden="false" outlineLevel="0" max="4" min="4" style="24" width="17"/>
    <ns0:col collapsed="false" customWidth="true" hidden="false" outlineLevel="0" max="5" min="5" style="24" width="28"/>
    <ns0:col collapsed="false" customWidth="true" hidden="false" outlineLevel="0" max="7" min="7" style="24" width="24"/>
    <ns0:col collapsed="false" customWidth="true" hidden="false" outlineLevel="0" max="8" min="8" style="24" width="18"/>
  </ns0:cols>
  <ns0:sheetData>
    <ns0:row r="1" customFormat="false" ht="37.5" hidden="false" customHeight="true" outlineLevel="0" collapsed="false">
      <ns0:c r="A1" s="51" t="s">
        <ns0:v>122</ns0:v>
      </ns0:c>
      <ns0:c r="B1" s="51"/>
      <ns0:c r="C1" s="51"/>
      <ns0:c r="D1" s="51"/>
      <ns0:c r="E1" s="51"/>
      <ns0:c r="F1" s="51"/>
      <ns0:c r="G1" s="51"/>
      <ns0:c r="H1" s="51"/>
    </ns0:row>
    <ns0:row r="2" customFormat="false" ht="14.25" hidden="false" customHeight="true" outlineLevel="0" collapsed="false">
      <ns0:c r="A2" s="52" t="s">
        <ns0:v>51</ns0:v>
      </ns0:c>
      <ns0:c r="B2" s="52"/>
      <ns0:c r="C2" s="52"/>
      <ns0:c r="D2" s="52"/>
      <ns0:c r="E2" s="52"/>
      <ns0:c r="F2" s="52"/>
      <ns0:c r="G2" s="52"/>
      <ns0:c r="H2" s="52"/>
    </ns0:row>
    <ns0:row r="3" customFormat="false" ht="15" hidden="false" customHeight="true" outlineLevel="0" collapsed="false">
      <ns0:c r="A3" s="72"/>
      <ns0:c r="B3" s="72"/>
      <ns0:c r="C3" s="72"/>
      <ns0:c r="D3" s="72"/>
      <ns0:c r="E3" s="72"/>
    </ns0:row>
    <ns0:row r="4" customFormat="false" ht="17.25" hidden="false" customHeight="true" outlineLevel="0" collapsed="false">
      <ns0:c r="A4" s="74" t="s">
        <ns0:v>84</ns0:v>
      </ns0:c>
      <ns0:c r="B4" s="74" t="s">
        <ns0:v>85</ns0:v>
      </ns0:c>
      <ns0:c r="C4" s="74" t="s">
        <ns0:v>86</ns0:v>
      </ns0:c>
      <ns0:c r="D4" s="75" t="s">
        <ns0:v>116</ns0:v>
      </ns0:c>
      <ns0:c r="E4" s="74" t="s">
        <ns0:v>89</ns0:v>
      </ns0:c>
      <ns0:c r="G4" s="85" t="s">
        <ns0:v>123</ns0:v>
      </ns0:c>
    </ns0:row>
    <ns0:row r="5" customFormat="false" ht="15" hidden="false" customHeight="true" outlineLevel="0" collapsed="false">
      <ns0:c r="A5" s="86"/>
      <ns0:c r="B5" s="86"/>
      <ns0:c r="C5" s="63"/>
      <ns0:c r="D5" s="64"/>
      <ns0:c r="E5" s="63"/>
      <ns0:c r="G5" s="55" t="s">
        <ns0:v>124</ns0:v>
      </ns0:c>
      <ns0:c r="H5" s="79" t="n">
        <ns0:f aca="false">SUMIF($A$5:$A$104,"Ativo",$D$5:$D$104)</ns0:f>
        <ns0:v>0</ns0:v>
      </ns0:c>
    </ns0:row>
    <ns0:row r="6" customFormat="false" ht="15" hidden="false" customHeight="true" outlineLevel="0" collapsed="false">
      <ns0:c r="A6" s="86"/>
      <ns0:c r="B6" s="86"/>
      <ns0:c r="C6" s="63"/>
      <ns0:c r="D6" s="64"/>
      <ns0:c r="E6" s="63"/>
      <ns0:c r="G6" s="55" t="s">
        <ns0:v>125</ns0:v>
      </ns0:c>
      <ns0:c r="H6" s="79" t="n">
        <ns0:f aca="false">SUMIF($A$5:$A$104,"Passivo",$D$5:$D$104)</ns0:f>
        <ns0:v>0</ns0:v>
      </ns0:c>
    </ns0:row>
    <ns0:row r="7" customFormat="false" ht="15" hidden="false" customHeight="true" outlineLevel="0" collapsed="false">
      <ns0:c r="A7" s="86"/>
      <ns0:c r="B7" s="86"/>
      <ns0:c r="C7" s="63"/>
      <ns0:c r="D7" s="64"/>
      <ns0:c r="E7" s="63"/>
      <ns0:c r="G7" s="55" t="s">
        <ns0:v>126</ns0:v>
      </ns0:c>
      <ns0:c r="H7" s="79" t="n">
        <ns0:f aca="false">H5-H6</ns0:f>
        <ns0:v>0</ns0:v>
      </ns0:c>
    </ns0:row>
    <ns0:row r="8" customFormat="false" ht="15" hidden="false" customHeight="true" outlineLevel="0" collapsed="false">
      <ns0:c r="A8" s="68"/>
      <ns0:c r="B8" s="68"/>
      <ns0:c r="C8" s="66"/>
      <ns0:c r="D8" s="67"/>
      <ns0:c r="E8" s="66"/>
    </ns0:row>
    <ns0:row r="9" customFormat="false" ht="15" hidden="false" customHeight="true" outlineLevel="0" collapsed="false">
      <ns0:c r="A9" s="68"/>
      <ns0:c r="B9" s="68"/>
      <ns0:c r="C9" s="66"/>
      <ns0:c r="D9" s="67"/>
      <ns0:c r="E9" s="66"/>
    </ns0:row>
    <ns0:row r="10" customFormat="false" ht="15" hidden="false" customHeight="true" outlineLevel="0" collapsed="false">
      <ns0:c r="A10" s="68"/>
      <ns0:c r="B10" s="68"/>
      <ns0:c r="C10" s="66"/>
      <ns0:c r="D10" s="67"/>
      <ns0:c r="E10" s="66"/>
    </ns0:row>
    <ns0:row r="11" customFormat="false" ht="15" hidden="false" customHeight="true" outlineLevel="0" collapsed="false">
      <ns0:c r="A11" s="68"/>
      <ns0:c r="B11" s="68"/>
      <ns0:c r="C11" s="66"/>
      <ns0:c r="D11" s="67"/>
      <ns0:c r="E11" s="66"/>
    </ns0:row>
    <ns0:row r="12" customFormat="false" ht="15" hidden="false" customHeight="true" outlineLevel="0" collapsed="false">
      <ns0:c r="A12" s="68"/>
      <ns0:c r="B12" s="68"/>
      <ns0:c r="C12" s="66"/>
      <ns0:c r="D12" s="67"/>
      <ns0:c r="E12" s="66"/>
    </ns0:row>
    <ns0:row r="13" customFormat="false" ht="15" hidden="false" customHeight="true" outlineLevel="0" collapsed="false">
      <ns0:c r="A13" s="68"/>
      <ns0:c r="B13" s="68"/>
      <ns0:c r="C13" s="66"/>
      <ns0:c r="D13" s="67"/>
      <ns0:c r="E13" s="66"/>
    </ns0:row>
    <ns0:row r="14" customFormat="false" ht="15" hidden="false" customHeight="true" outlineLevel="0" collapsed="false">
      <ns0:c r="A14" s="68"/>
      <ns0:c r="B14" s="68"/>
      <ns0:c r="C14" s="66"/>
      <ns0:c r="D14" s="67"/>
      <ns0:c r="E14" s="66"/>
    </ns0:row>
    <ns0:row r="15" customFormat="false" ht="15" hidden="false" customHeight="true" outlineLevel="0" collapsed="false">
      <ns0:c r="A15" s="68"/>
      <ns0:c r="B15" s="68"/>
      <ns0:c r="C15" s="66"/>
      <ns0:c r="D15" s="67"/>
      <ns0:c r="E15" s="66"/>
    </ns0:row>
    <ns0:row r="16" customFormat="false" ht="15" hidden="false" customHeight="true" outlineLevel="0" collapsed="false">
      <ns0:c r="A16" s="68"/>
      <ns0:c r="B16" s="68"/>
      <ns0:c r="C16" s="66"/>
      <ns0:c r="D16" s="67"/>
      <ns0:c r="E16" s="66"/>
    </ns0:row>
    <ns0:row r="17" customFormat="false" ht="15" hidden="false" customHeight="true" outlineLevel="0" collapsed="false">
      <ns0:c r="A17" s="68"/>
      <ns0:c r="B17" s="68"/>
      <ns0:c r="C17" s="66"/>
      <ns0:c r="D17" s="67"/>
      <ns0:c r="E17" s="66"/>
    </ns0:row>
    <ns0:row r="18" customFormat="false" ht="15" hidden="false" customHeight="true" outlineLevel="0" collapsed="false">
      <ns0:c r="A18" s="68"/>
      <ns0:c r="B18" s="68"/>
      <ns0:c r="C18" s="66"/>
      <ns0:c r="D18" s="67"/>
      <ns0:c r="E18" s="66"/>
    </ns0:row>
    <ns0:row r="19" customFormat="false" ht="15" hidden="false" customHeight="true" outlineLevel="0" collapsed="false">
      <ns0:c r="A19" s="68"/>
      <ns0:c r="B19" s="68"/>
      <ns0:c r="C19" s="66"/>
      <ns0:c r="D19" s="67"/>
      <ns0:c r="E19" s="66"/>
    </ns0:row>
    <ns0:row r="20" customFormat="false" ht="15" hidden="false" customHeight="true" outlineLevel="0" collapsed="false">
      <ns0:c r="A20" s="68"/>
      <ns0:c r="B20" s="68"/>
      <ns0:c r="C20" s="66"/>
      <ns0:c r="D20" s="67"/>
      <ns0:c r="E20" s="66"/>
    </ns0:row>
    <ns0:row r="21" customFormat="false" ht="15" hidden="false" customHeight="true" outlineLevel="0" collapsed="false">
      <ns0:c r="A21" s="68"/>
      <ns0:c r="B21" s="68"/>
      <ns0:c r="C21" s="66"/>
      <ns0:c r="D21" s="67"/>
      <ns0:c r="E21" s="66"/>
    </ns0:row>
    <ns0:row r="22" customFormat="false" ht="15" hidden="false" customHeight="true" outlineLevel="0" collapsed="false">
      <ns0:c r="A22" s="68"/>
      <ns0:c r="B22" s="68"/>
      <ns0:c r="C22" s="66"/>
      <ns0:c r="D22" s="67"/>
      <ns0:c r="E22" s="66"/>
    </ns0:row>
    <ns0:row r="23" customFormat="false" ht="15" hidden="false" customHeight="true" outlineLevel="0" collapsed="false">
      <ns0:c r="A23" s="68"/>
      <ns0:c r="B23" s="68"/>
      <ns0:c r="C23" s="66"/>
      <ns0:c r="D23" s="67"/>
      <ns0:c r="E23" s="66"/>
    </ns0:row>
    <ns0:row r="24" customFormat="false" ht="15" hidden="false" customHeight="true" outlineLevel="0" collapsed="false">
      <ns0:c r="A24" s="68"/>
      <ns0:c r="B24" s="68"/>
      <ns0:c r="C24" s="66"/>
      <ns0:c r="D24" s="67"/>
      <ns0:c r="E24" s="66"/>
    </ns0:row>
    <ns0:row r="25" customFormat="false" ht="15" hidden="false" customHeight="true" outlineLevel="0" collapsed="false">
      <ns0:c r="A25" s="68"/>
      <ns0:c r="B25" s="68"/>
      <ns0:c r="C25" s="66"/>
      <ns0:c r="D25" s="67"/>
      <ns0:c r="E25" s="66"/>
    </ns0:row>
    <ns0:row r="26" customFormat="false" ht="15" hidden="false" customHeight="true" outlineLevel="0" collapsed="false">
      <ns0:c r="A26" s="68"/>
      <ns0:c r="B26" s="68"/>
      <ns0:c r="C26" s="66"/>
      <ns0:c r="D26" s="67"/>
      <ns0:c r="E26" s="66"/>
    </ns0:row>
    <ns0:row r="27" customFormat="false" ht="15" hidden="false" customHeight="true" outlineLevel="0" collapsed="false">
      <ns0:c r="A27" s="68"/>
      <ns0:c r="B27" s="68"/>
      <ns0:c r="C27" s="66"/>
      <ns0:c r="D27" s="67"/>
      <ns0:c r="E27" s="66"/>
    </ns0:row>
    <ns0:row r="28" customFormat="false" ht="15" hidden="false" customHeight="true" outlineLevel="0" collapsed="false">
      <ns0:c r="A28" s="68"/>
      <ns0:c r="B28" s="68"/>
      <ns0:c r="C28" s="66"/>
      <ns0:c r="D28" s="67"/>
      <ns0:c r="E28" s="66"/>
    </ns0:row>
    <ns0:row r="29" customFormat="false" ht="15" hidden="false" customHeight="true" outlineLevel="0" collapsed="false">
      <ns0:c r="A29" s="68"/>
      <ns0:c r="B29" s="68"/>
      <ns0:c r="C29" s="66"/>
      <ns0:c r="D29" s="67"/>
      <ns0:c r="E29" s="66"/>
    </ns0:row>
    <ns0:row r="30" customFormat="false" ht="15" hidden="false" customHeight="true" outlineLevel="0" collapsed="false">
      <ns0:c r="A30" s="68"/>
      <ns0:c r="B30" s="68"/>
      <ns0:c r="C30" s="66"/>
      <ns0:c r="D30" s="67"/>
      <ns0:c r="E30" s="66"/>
    </ns0:row>
    <ns0:row r="31" customFormat="false" ht="15" hidden="false" customHeight="true" outlineLevel="0" collapsed="false">
      <ns0:c r="A31" s="68"/>
      <ns0:c r="B31" s="68"/>
      <ns0:c r="C31" s="66"/>
      <ns0:c r="D31" s="67"/>
      <ns0:c r="E31" s="66"/>
    </ns0:row>
    <ns0:row r="32" customFormat="false" ht="15" hidden="false" customHeight="true" outlineLevel="0" collapsed="false">
      <ns0:c r="A32" s="68"/>
      <ns0:c r="B32" s="68"/>
      <ns0:c r="C32" s="66"/>
      <ns0:c r="D32" s="67"/>
      <ns0:c r="E32" s="66"/>
    </ns0:row>
    <ns0:row r="33" customFormat="false" ht="15" hidden="false" customHeight="true" outlineLevel="0" collapsed="false">
      <ns0:c r="A33" s="68"/>
      <ns0:c r="B33" s="68"/>
      <ns0:c r="C33" s="66"/>
      <ns0:c r="D33" s="67"/>
      <ns0:c r="E33" s="66"/>
    </ns0:row>
    <ns0:row r="34" customFormat="false" ht="15" hidden="false" customHeight="true" outlineLevel="0" collapsed="false">
      <ns0:c r="A34" s="68"/>
      <ns0:c r="B34" s="68"/>
      <ns0:c r="C34" s="66"/>
      <ns0:c r="D34" s="67"/>
      <ns0:c r="E34" s="66"/>
    </ns0:row>
    <ns0:row r="35" customFormat="false" ht="15" hidden="false" customHeight="true" outlineLevel="0" collapsed="false">
      <ns0:c r="A35" s="68"/>
      <ns0:c r="B35" s="68"/>
      <ns0:c r="C35" s="66"/>
      <ns0:c r="D35" s="67"/>
      <ns0:c r="E35" s="66"/>
    </ns0:row>
    <ns0:row r="36" customFormat="false" ht="15" hidden="false" customHeight="true" outlineLevel="0" collapsed="false">
      <ns0:c r="A36" s="68"/>
      <ns0:c r="B36" s="68"/>
      <ns0:c r="C36" s="66"/>
      <ns0:c r="D36" s="67"/>
      <ns0:c r="E36" s="66"/>
    </ns0:row>
    <ns0:row r="37" customFormat="false" ht="15" hidden="false" customHeight="true" outlineLevel="0" collapsed="false">
      <ns0:c r="A37" s="68"/>
      <ns0:c r="B37" s="68"/>
      <ns0:c r="C37" s="66"/>
      <ns0:c r="D37" s="67"/>
      <ns0:c r="E37" s="66"/>
    </ns0:row>
    <ns0:row r="38" customFormat="false" ht="15" hidden="false" customHeight="true" outlineLevel="0" collapsed="false">
      <ns0:c r="A38" s="68"/>
      <ns0:c r="B38" s="68"/>
      <ns0:c r="C38" s="66"/>
      <ns0:c r="D38" s="67"/>
      <ns0:c r="E38" s="66"/>
    </ns0:row>
    <ns0:row r="39" customFormat="false" ht="15" hidden="false" customHeight="true" outlineLevel="0" collapsed="false">
      <ns0:c r="A39" s="68"/>
      <ns0:c r="B39" s="68"/>
      <ns0:c r="C39" s="66"/>
      <ns0:c r="D39" s="67"/>
      <ns0:c r="E39" s="66"/>
    </ns0:row>
    <ns0:row r="40" customFormat="false" ht="15" hidden="false" customHeight="true" outlineLevel="0" collapsed="false">
      <ns0:c r="A40" s="68"/>
      <ns0:c r="B40" s="68"/>
      <ns0:c r="C40" s="66"/>
      <ns0:c r="D40" s="67"/>
      <ns0:c r="E40" s="66"/>
    </ns0:row>
    <ns0:row r="41" customFormat="false" ht="15" hidden="false" customHeight="true" outlineLevel="0" collapsed="false">
      <ns0:c r="A41" s="68"/>
      <ns0:c r="B41" s="68"/>
      <ns0:c r="C41" s="66"/>
      <ns0:c r="D41" s="67"/>
      <ns0:c r="E41" s="66"/>
    </ns0:row>
    <ns0:row r="42" customFormat="false" ht="15" hidden="false" customHeight="true" outlineLevel="0" collapsed="false">
      <ns0:c r="A42" s="68"/>
      <ns0:c r="B42" s="68"/>
      <ns0:c r="C42" s="66"/>
      <ns0:c r="D42" s="67"/>
      <ns0:c r="E42" s="66"/>
    </ns0:row>
    <ns0:row r="43" customFormat="false" ht="15" hidden="false" customHeight="true" outlineLevel="0" collapsed="false">
      <ns0:c r="A43" s="68"/>
      <ns0:c r="B43" s="68"/>
      <ns0:c r="C43" s="66"/>
      <ns0:c r="D43" s="67"/>
      <ns0:c r="E43" s="66"/>
    </ns0:row>
    <ns0:row r="44" customFormat="false" ht="15" hidden="false" customHeight="true" outlineLevel="0" collapsed="false">
      <ns0:c r="A44" s="68"/>
      <ns0:c r="B44" s="68"/>
      <ns0:c r="C44" s="66"/>
      <ns0:c r="D44" s="67"/>
      <ns0:c r="E44" s="66"/>
    </ns0:row>
    <ns0:row r="45" customFormat="false" ht="15" hidden="false" customHeight="true" outlineLevel="0" collapsed="false">
      <ns0:c r="A45" s="68"/>
      <ns0:c r="B45" s="68"/>
      <ns0:c r="C45" s="66"/>
      <ns0:c r="D45" s="67"/>
      <ns0:c r="E45" s="66"/>
    </ns0:row>
    <ns0:row r="46" customFormat="false" ht="15" hidden="false" customHeight="true" outlineLevel="0" collapsed="false">
      <ns0:c r="A46" s="68"/>
      <ns0:c r="B46" s="68"/>
      <ns0:c r="C46" s="66"/>
      <ns0:c r="D46" s="67"/>
      <ns0:c r="E46" s="66"/>
    </ns0:row>
    <ns0:row r="47" customFormat="false" ht="15" hidden="false" customHeight="true" outlineLevel="0" collapsed="false">
      <ns0:c r="A47" s="68"/>
      <ns0:c r="B47" s="68"/>
      <ns0:c r="C47" s="66"/>
      <ns0:c r="D47" s="67"/>
      <ns0:c r="E47" s="66"/>
    </ns0:row>
    <ns0:row r="48" customFormat="false" ht="15" hidden="false" customHeight="true" outlineLevel="0" collapsed="false">
      <ns0:c r="A48" s="68"/>
      <ns0:c r="B48" s="68"/>
      <ns0:c r="C48" s="66"/>
      <ns0:c r="D48" s="67"/>
      <ns0:c r="E48" s="66"/>
    </ns0:row>
    <ns0:row r="49" customFormat="false" ht="15" hidden="false" customHeight="true" outlineLevel="0" collapsed="false">
      <ns0:c r="A49" s="68"/>
      <ns0:c r="B49" s="68"/>
      <ns0:c r="C49" s="66"/>
      <ns0:c r="D49" s="67"/>
      <ns0:c r="E49" s="66"/>
    </ns0:row>
    <ns0:row r="50" customFormat="false" ht="15" hidden="false" customHeight="true" outlineLevel="0" collapsed="false">
      <ns0:c r="A50" s="68"/>
      <ns0:c r="B50" s="68"/>
      <ns0:c r="C50" s="66"/>
      <ns0:c r="D50" s="67"/>
      <ns0:c r="E50" s="66"/>
    </ns0:row>
    <ns0:row r="51" customFormat="false" ht="15" hidden="false" customHeight="true" outlineLevel="0" collapsed="false">
      <ns0:c r="A51" s="68"/>
      <ns0:c r="B51" s="68"/>
      <ns0:c r="C51" s="66"/>
      <ns0:c r="D51" s="67"/>
      <ns0:c r="E51" s="66"/>
    </ns0:row>
    <ns0:row r="52" customFormat="false" ht="15" hidden="false" customHeight="true" outlineLevel="0" collapsed="false">
      <ns0:c r="A52" s="68"/>
      <ns0:c r="B52" s="68"/>
      <ns0:c r="C52" s="66"/>
      <ns0:c r="D52" s="67"/>
      <ns0:c r="E52" s="66"/>
    </ns0:row>
    <ns0:row r="53" customFormat="false" ht="15" hidden="false" customHeight="true" outlineLevel="0" collapsed="false">
      <ns0:c r="A53" s="68"/>
      <ns0:c r="B53" s="68"/>
      <ns0:c r="C53" s="66"/>
      <ns0:c r="D53" s="67"/>
      <ns0:c r="E53" s="66"/>
    </ns0:row>
    <ns0:row r="54" customFormat="false" ht="15" hidden="false" customHeight="true" outlineLevel="0" collapsed="false">
      <ns0:c r="A54" s="68"/>
      <ns0:c r="B54" s="68"/>
      <ns0:c r="C54" s="66"/>
      <ns0:c r="D54" s="67"/>
      <ns0:c r="E54" s="66"/>
    </ns0:row>
    <ns0:row r="55" customFormat="false" ht="15" hidden="false" customHeight="true" outlineLevel="0" collapsed="false">
      <ns0:c r="A55" s="68"/>
      <ns0:c r="B55" s="68"/>
      <ns0:c r="C55" s="66"/>
      <ns0:c r="D55" s="67"/>
      <ns0:c r="E55" s="66"/>
    </ns0:row>
    <ns0:row r="56" customFormat="false" ht="15" hidden="false" customHeight="true" outlineLevel="0" collapsed="false">
      <ns0:c r="A56" s="68"/>
      <ns0:c r="B56" s="68"/>
      <ns0:c r="C56" s="66"/>
      <ns0:c r="D56" s="67"/>
      <ns0:c r="E56" s="66"/>
    </ns0:row>
    <ns0:row r="57" customFormat="false" ht="15" hidden="false" customHeight="true" outlineLevel="0" collapsed="false">
      <ns0:c r="A57" s="68"/>
      <ns0:c r="B57" s="68"/>
      <ns0:c r="C57" s="66"/>
      <ns0:c r="D57" s="67"/>
      <ns0:c r="E57" s="66"/>
    </ns0:row>
    <ns0:row r="58" customFormat="false" ht="15" hidden="false" customHeight="true" outlineLevel="0" collapsed="false">
      <ns0:c r="A58" s="68"/>
      <ns0:c r="B58" s="68"/>
      <ns0:c r="C58" s="66"/>
      <ns0:c r="D58" s="67"/>
      <ns0:c r="E58" s="66"/>
    </ns0:row>
    <ns0:row r="59" customFormat="false" ht="15" hidden="false" customHeight="true" outlineLevel="0" collapsed="false">
      <ns0:c r="A59" s="68"/>
      <ns0:c r="B59" s="68"/>
      <ns0:c r="C59" s="66"/>
      <ns0:c r="D59" s="67"/>
      <ns0:c r="E59" s="66"/>
    </ns0:row>
    <ns0:row r="60" customFormat="false" ht="15" hidden="false" customHeight="true" outlineLevel="0" collapsed="false">
      <ns0:c r="A60" s="68"/>
      <ns0:c r="B60" s="68"/>
      <ns0:c r="C60" s="66"/>
      <ns0:c r="D60" s="67"/>
      <ns0:c r="E60" s="66"/>
    </ns0:row>
    <ns0:row r="61" customFormat="false" ht="15" hidden="false" customHeight="true" outlineLevel="0" collapsed="false">
      <ns0:c r="A61" s="68"/>
      <ns0:c r="B61" s="68"/>
      <ns0:c r="C61" s="66"/>
      <ns0:c r="D61" s="67"/>
      <ns0:c r="E61" s="66"/>
    </ns0:row>
    <ns0:row r="62" customFormat="false" ht="15" hidden="false" customHeight="true" outlineLevel="0" collapsed="false">
      <ns0:c r="A62" s="68"/>
      <ns0:c r="B62" s="68"/>
      <ns0:c r="C62" s="66"/>
      <ns0:c r="D62" s="67"/>
      <ns0:c r="E62" s="66"/>
    </ns0:row>
    <ns0:row r="63" customFormat="false" ht="15" hidden="false" customHeight="true" outlineLevel="0" collapsed="false">
      <ns0:c r="A63" s="68"/>
      <ns0:c r="B63" s="68"/>
      <ns0:c r="C63" s="66"/>
      <ns0:c r="D63" s="67"/>
      <ns0:c r="E63" s="66"/>
    </ns0:row>
    <ns0:row r="64" customFormat="false" ht="15" hidden="false" customHeight="true" outlineLevel="0" collapsed="false">
      <ns0:c r="A64" s="68"/>
      <ns0:c r="B64" s="68"/>
      <ns0:c r="C64" s="66"/>
      <ns0:c r="D64" s="67"/>
      <ns0:c r="E64" s="66"/>
    </ns0:row>
    <ns0:row r="65" customFormat="false" ht="15" hidden="false" customHeight="true" outlineLevel="0" collapsed="false">
      <ns0:c r="A65" s="68"/>
      <ns0:c r="B65" s="68"/>
      <ns0:c r="C65" s="66"/>
      <ns0:c r="D65" s="67"/>
      <ns0:c r="E65" s="66"/>
    </ns0:row>
    <ns0:row r="66" customFormat="false" ht="15" hidden="false" customHeight="true" outlineLevel="0" collapsed="false">
      <ns0:c r="A66" s="68"/>
      <ns0:c r="B66" s="68"/>
      <ns0:c r="C66" s="66"/>
      <ns0:c r="D66" s="67"/>
      <ns0:c r="E66" s="66"/>
    </ns0:row>
    <ns0:row r="67" customFormat="false" ht="15" hidden="false" customHeight="true" outlineLevel="0" collapsed="false">
      <ns0:c r="A67" s="68"/>
      <ns0:c r="B67" s="68"/>
      <ns0:c r="C67" s="66"/>
      <ns0:c r="D67" s="67"/>
      <ns0:c r="E67" s="66"/>
    </ns0:row>
    <ns0:row r="68" customFormat="false" ht="15" hidden="false" customHeight="true" outlineLevel="0" collapsed="false">
      <ns0:c r="A68" s="68"/>
      <ns0:c r="B68" s="68"/>
      <ns0:c r="C68" s="66"/>
      <ns0:c r="D68" s="67"/>
      <ns0:c r="E68" s="66"/>
    </ns0:row>
    <ns0:row r="69" customFormat="false" ht="15" hidden="false" customHeight="true" outlineLevel="0" collapsed="false">
      <ns0:c r="A69" s="68"/>
      <ns0:c r="B69" s="68"/>
      <ns0:c r="C69" s="66"/>
      <ns0:c r="D69" s="67"/>
      <ns0:c r="E69" s="66"/>
    </ns0:row>
    <ns0:row r="70" customFormat="false" ht="15" hidden="false" customHeight="true" outlineLevel="0" collapsed="false">
      <ns0:c r="A70" s="68"/>
      <ns0:c r="B70" s="68"/>
      <ns0:c r="C70" s="66"/>
      <ns0:c r="D70" s="67"/>
      <ns0:c r="E70" s="66"/>
    </ns0:row>
    <ns0:row r="71" customFormat="false" ht="15" hidden="false" customHeight="true" outlineLevel="0" collapsed="false">
      <ns0:c r="A71" s="68"/>
      <ns0:c r="B71" s="68"/>
      <ns0:c r="C71" s="66"/>
      <ns0:c r="D71" s="67"/>
      <ns0:c r="E71" s="66"/>
    </ns0:row>
    <ns0:row r="72" customFormat="false" ht="15" hidden="false" customHeight="true" outlineLevel="0" collapsed="false">
      <ns0:c r="A72" s="68"/>
      <ns0:c r="B72" s="68"/>
      <ns0:c r="C72" s="66"/>
      <ns0:c r="D72" s="67"/>
      <ns0:c r="E72" s="66"/>
    </ns0:row>
    <ns0:row r="73" customFormat="false" ht="15" hidden="false" customHeight="true" outlineLevel="0" collapsed="false">
      <ns0:c r="A73" s="68"/>
      <ns0:c r="B73" s="68"/>
      <ns0:c r="C73" s="66"/>
      <ns0:c r="D73" s="67"/>
      <ns0:c r="E73" s="66"/>
    </ns0:row>
    <ns0:row r="74" customFormat="false" ht="15" hidden="false" customHeight="true" outlineLevel="0" collapsed="false">
      <ns0:c r="A74" s="68"/>
      <ns0:c r="B74" s="68"/>
      <ns0:c r="C74" s="66"/>
      <ns0:c r="D74" s="67"/>
      <ns0:c r="E74" s="66"/>
    </ns0:row>
    <ns0:row r="75" customFormat="false" ht="15" hidden="false" customHeight="true" outlineLevel="0" collapsed="false">
      <ns0:c r="A75" s="68"/>
      <ns0:c r="B75" s="68"/>
      <ns0:c r="C75" s="66"/>
      <ns0:c r="D75" s="67"/>
      <ns0:c r="E75" s="66"/>
    </ns0:row>
    <ns0:row r="76" customFormat="false" ht="15" hidden="false" customHeight="true" outlineLevel="0" collapsed="false">
      <ns0:c r="A76" s="68"/>
      <ns0:c r="B76" s="68"/>
      <ns0:c r="C76" s="66"/>
      <ns0:c r="D76" s="67"/>
      <ns0:c r="E76" s="66"/>
    </ns0:row>
    <ns0:row r="77" customFormat="false" ht="15" hidden="false" customHeight="true" outlineLevel="0" collapsed="false">
      <ns0:c r="A77" s="68"/>
      <ns0:c r="B77" s="68"/>
      <ns0:c r="C77" s="66"/>
      <ns0:c r="D77" s="67"/>
      <ns0:c r="E77" s="66"/>
    </ns0:row>
    <ns0:row r="78" customFormat="false" ht="15" hidden="false" customHeight="true" outlineLevel="0" collapsed="false">
      <ns0:c r="A78" s="68"/>
      <ns0:c r="B78" s="68"/>
      <ns0:c r="C78" s="66"/>
      <ns0:c r="D78" s="67"/>
      <ns0:c r="E78" s="66"/>
    </ns0:row>
    <ns0:row r="79" customFormat="false" ht="15" hidden="false" customHeight="true" outlineLevel="0" collapsed="false">
      <ns0:c r="A79" s="68"/>
      <ns0:c r="B79" s="68"/>
      <ns0:c r="C79" s="66"/>
      <ns0:c r="D79" s="67"/>
      <ns0:c r="E79" s="66"/>
    </ns0:row>
    <ns0:row r="80" customFormat="false" ht="15" hidden="false" customHeight="true" outlineLevel="0" collapsed="false">
      <ns0:c r="A80" s="68"/>
      <ns0:c r="B80" s="68"/>
      <ns0:c r="C80" s="66"/>
      <ns0:c r="D80" s="67"/>
      <ns0:c r="E80" s="66"/>
    </ns0:row>
    <ns0:row r="81" customFormat="false" ht="15" hidden="false" customHeight="true" outlineLevel="0" collapsed="false">
      <ns0:c r="A81" s="68"/>
      <ns0:c r="B81" s="68"/>
      <ns0:c r="C81" s="66"/>
      <ns0:c r="D81" s="67"/>
      <ns0:c r="E81" s="66"/>
    </ns0:row>
    <ns0:row r="82" customFormat="false" ht="15" hidden="false" customHeight="true" outlineLevel="0" collapsed="false">
      <ns0:c r="A82" s="68"/>
      <ns0:c r="B82" s="68"/>
      <ns0:c r="C82" s="66"/>
      <ns0:c r="D82" s="67"/>
      <ns0:c r="E82" s="66"/>
    </ns0:row>
    <ns0:row r="83" customFormat="false" ht="15" hidden="false" customHeight="true" outlineLevel="0" collapsed="false">
      <ns0:c r="A83" s="68"/>
      <ns0:c r="B83" s="68"/>
      <ns0:c r="C83" s="66"/>
      <ns0:c r="D83" s="67"/>
      <ns0:c r="E83" s="66"/>
    </ns0:row>
    <ns0:row r="84" customFormat="false" ht="15" hidden="false" customHeight="true" outlineLevel="0" collapsed="false">
      <ns0:c r="A84" s="68"/>
      <ns0:c r="B84" s="68"/>
      <ns0:c r="C84" s="66"/>
      <ns0:c r="D84" s="67"/>
      <ns0:c r="E84" s="66"/>
    </ns0:row>
    <ns0:row r="85" customFormat="false" ht="15" hidden="false" customHeight="true" outlineLevel="0" collapsed="false">
      <ns0:c r="A85" s="68"/>
      <ns0:c r="B85" s="68"/>
      <ns0:c r="C85" s="66"/>
      <ns0:c r="D85" s="67"/>
      <ns0:c r="E85" s="66"/>
    </ns0:row>
    <ns0:row r="86" customFormat="false" ht="15" hidden="false" customHeight="true" outlineLevel="0" collapsed="false">
      <ns0:c r="A86" s="68"/>
      <ns0:c r="B86" s="68"/>
      <ns0:c r="C86" s="66"/>
      <ns0:c r="D86" s="67"/>
      <ns0:c r="E86" s="66"/>
    </ns0:row>
    <ns0:row r="87" customFormat="false" ht="15" hidden="false" customHeight="true" outlineLevel="0" collapsed="false">
      <ns0:c r="A87" s="68"/>
      <ns0:c r="B87" s="68"/>
      <ns0:c r="C87" s="66"/>
      <ns0:c r="D87" s="67"/>
      <ns0:c r="E87" s="66"/>
    </ns0:row>
    <ns0:row r="88" customFormat="false" ht="15" hidden="false" customHeight="true" outlineLevel="0" collapsed="false">
      <ns0:c r="A88" s="68"/>
      <ns0:c r="B88" s="68"/>
      <ns0:c r="C88" s="66"/>
      <ns0:c r="D88" s="67"/>
      <ns0:c r="E88" s="66"/>
    </ns0:row>
    <ns0:row r="89" customFormat="false" ht="15" hidden="false" customHeight="true" outlineLevel="0" collapsed="false">
      <ns0:c r="A89" s="68"/>
      <ns0:c r="B89" s="68"/>
      <ns0:c r="C89" s="66"/>
      <ns0:c r="D89" s="67"/>
      <ns0:c r="E89" s="66"/>
    </ns0:row>
    <ns0:row r="90" customFormat="false" ht="15" hidden="false" customHeight="true" outlineLevel="0" collapsed="false">
      <ns0:c r="A90" s="68"/>
      <ns0:c r="B90" s="68"/>
      <ns0:c r="C90" s="66"/>
      <ns0:c r="D90" s="67"/>
      <ns0:c r="E90" s="66"/>
    </ns0:row>
    <ns0:row r="91" customFormat="false" ht="15" hidden="false" customHeight="true" outlineLevel="0" collapsed="false">
      <ns0:c r="A91" s="68"/>
      <ns0:c r="B91" s="68"/>
      <ns0:c r="C91" s="66"/>
      <ns0:c r="D91" s="67"/>
      <ns0:c r="E91" s="66"/>
    </ns0:row>
    <ns0:row r="92" customFormat="false" ht="15" hidden="false" customHeight="true" outlineLevel="0" collapsed="false">
      <ns0:c r="A92" s="68"/>
      <ns0:c r="B92" s="68"/>
      <ns0:c r="C92" s="66"/>
      <ns0:c r="D92" s="67"/>
      <ns0:c r="E92" s="66"/>
    </ns0:row>
    <ns0:row r="93" customFormat="false" ht="15" hidden="false" customHeight="true" outlineLevel="0" collapsed="false">
      <ns0:c r="A93" s="68"/>
      <ns0:c r="B93" s="68"/>
      <ns0:c r="C93" s="66"/>
      <ns0:c r="D93" s="67"/>
      <ns0:c r="E93" s="66"/>
    </ns0:row>
    <ns0:row r="94" customFormat="false" ht="15" hidden="false" customHeight="true" outlineLevel="0" collapsed="false">
      <ns0:c r="A94" s="68"/>
      <ns0:c r="B94" s="68"/>
      <ns0:c r="C94" s="66"/>
      <ns0:c r="D94" s="67"/>
      <ns0:c r="E94" s="66"/>
    </ns0:row>
    <ns0:row r="95" customFormat="false" ht="15" hidden="false" customHeight="true" outlineLevel="0" collapsed="false">
      <ns0:c r="A95" s="68"/>
      <ns0:c r="B95" s="68"/>
      <ns0:c r="C95" s="66"/>
      <ns0:c r="D95" s="67"/>
      <ns0:c r="E95" s="66"/>
    </ns0:row>
    <ns0:row r="96" customFormat="false" ht="15" hidden="false" customHeight="true" outlineLevel="0" collapsed="false">
      <ns0:c r="A96" s="68"/>
      <ns0:c r="B96" s="68"/>
      <ns0:c r="C96" s="66"/>
      <ns0:c r="D96" s="67"/>
      <ns0:c r="E96" s="66"/>
    </ns0:row>
    <ns0:row r="97" customFormat="false" ht="15" hidden="false" customHeight="true" outlineLevel="0" collapsed="false">
      <ns0:c r="A97" s="68"/>
      <ns0:c r="B97" s="68"/>
      <ns0:c r="C97" s="66"/>
      <ns0:c r="D97" s="67"/>
      <ns0:c r="E97" s="66"/>
    </ns0:row>
    <ns0:row r="98" customFormat="false" ht="15" hidden="false" customHeight="true" outlineLevel="0" collapsed="false">
      <ns0:c r="A98" s="68"/>
      <ns0:c r="B98" s="68"/>
      <ns0:c r="C98" s="66"/>
      <ns0:c r="D98" s="67"/>
      <ns0:c r="E98" s="66"/>
    </ns0:row>
    <ns0:row r="99" customFormat="false" ht="15" hidden="false" customHeight="true" outlineLevel="0" collapsed="false">
      <ns0:c r="A99" s="68"/>
      <ns0:c r="B99" s="68"/>
      <ns0:c r="C99" s="66"/>
      <ns0:c r="D99" s="67"/>
      <ns0:c r="E99" s="66"/>
    </ns0:row>
    <ns0:row r="100" customFormat="false" ht="15" hidden="false" customHeight="true" outlineLevel="0" collapsed="false">
      <ns0:c r="A100" s="68"/>
      <ns0:c r="B100" s="68"/>
      <ns0:c r="C100" s="66"/>
      <ns0:c r="D100" s="67"/>
      <ns0:c r="E100" s="66"/>
    </ns0:row>
    <ns0:row r="101" customFormat="false" ht="15" hidden="false" customHeight="true" outlineLevel="0" collapsed="false">
      <ns0:c r="A101" s="68"/>
      <ns0:c r="B101" s="68"/>
      <ns0:c r="C101" s="66"/>
      <ns0:c r="D101" s="67"/>
      <ns0:c r="E101" s="66"/>
    </ns0:row>
    <ns0:row r="102" customFormat="false" ht="15" hidden="false" customHeight="true" outlineLevel="0" collapsed="false">
      <ns0:c r="A102" s="68"/>
      <ns0:c r="B102" s="68"/>
      <ns0:c r="C102" s="66"/>
      <ns0:c r="D102" s="67"/>
      <ns0:c r="E102" s="66"/>
    </ns0:row>
    <ns0:row r="103" customFormat="false" ht="15" hidden="false" customHeight="true" outlineLevel="0" collapsed="false">
      <ns0:c r="A103" s="68"/>
      <ns0:c r="B103" s="68"/>
      <ns0:c r="C103" s="66"/>
      <ns0:c r="D103" s="67"/>
      <ns0:c r="E103" s="66"/>
    </ns0:row>
    <ns0:row r="104" customFormat="false" ht="15" hidden="false" customHeight="true" outlineLevel="0" collapsed="false">
      <ns0:c r="A104" s="70"/>
      <ns0:c r="B104" s="70"/>
      <ns0:c r="C104" s="70"/>
      <ns0:c r="D104" s="71"/>
      <ns0:c r="E104" s="70"/>
    </ns0:row>
  </ns0:sheetData>
  <ns0:sheetProtection sheet="true" selectLockedCells="true" selectUnlockedCells="true"/>
  <ns0:autoFilter ref="A4:E104"/>
  <ns0:mergeCells count="2">
    <ns0:mergeCell ref="A1:H1"/>
    <ns0:mergeCell ref="A2:H2"/>
  </ns0:mergeCells>
  <ns0:dataValidations count="3">
    <ns0:dataValidation allowBlank="true" errorStyle="stop" operator="between" showDropDown="false" showErrorMessage="false" showInputMessage="false" sqref="A4" type="list">
      <ns0:formula1>"Ativo,Passivo"</ns0:formula1>
      <ns0:formula2>0</ns0:formula2>
    </ns0:dataValidation>
    <ns0:dataValidation allowBlank="true" errorStyle="stop" operator="between" showDropDown="false" showErrorMessage="false" showInputMessage="false" sqref="A5:A104" type="list">
      <ns0:formula1>"Ativo,Passivo"</ns0:formula1>
      <ns0:formula2>0</ns0:formula2>
    </ns0:dataValidation>
    <ns0:dataValidation allowBlank="true" errorStyle="stop" operator="between" showDropDown="false" showErrorMessage="false" showInputMessage="false" sqref="B5:B104" type="list">
      <ns0:formula1>Configurações!$F$5:$F$14</ns0:formula1>
      <ns0:formula2>0</ns0:formula2>
    </ns0:dataValidation>
  </ns0:dataValidations>
  <ns0:hyperlinks>
    <ns0:hyperlink ref="A2" location="'COMECE%20AQUI'!A1" display="← Comece aqui"/>
  </ns0:hyperlinks>
  <ns0:printOptions headings="false" gridLines="false" gridLinesSet="true" horizontalCentered="false" verticalCentered="false"/>
  <ns0:pageMargins left="0.75" right="0.75" top="1" bottom="1" header="0.511811023622047" footer="0.511811023622047"/>
  <ns0:pageSetup paperSize="1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  <ns0:drawing ns1:id="rId2"/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 filterMode="false">
    <ns0:pageSetUpPr fitToPage="true"/>
  </ns0:sheetPr>
  <ns0:dimension ref="A1:H54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4" topLeftCell="A5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true" zeroHeight="false" outlineLevelRow="0" outlineLevelCol="0"/>
  <ns0:cols>
    <ns0:col collapsed="false" customWidth="true" hidden="false" outlineLevel="0" max="1" min="1" style="24" width="28"/>
    <ns0:col collapsed="false" customWidth="true" hidden="false" outlineLevel="0" max="3" min="2" style="24" width="17"/>
    <ns0:col collapsed="false" customWidth="true" hidden="false" outlineLevel="0" max="4" min="4" style="24" width="14"/>
    <ns0:col collapsed="false" customWidth="true" hidden="false" outlineLevel="0" max="5" min="5" style="24" width="15"/>
    <ns0:col collapsed="false" customWidth="true" hidden="false" outlineLevel="0" max="6" min="6" style="24" width="28"/>
    <ns0:col collapsed="false" customWidth="true" hidden="false" outlineLevel="0" max="7" min="7" style="24" width="17"/>
    <ns0:col collapsed="false" customWidth="true" hidden="false" outlineLevel="0" max="8" min="8" style="24" width="25"/>
  </ns0:cols>
  <ns0:sheetData>
    <ns0:row r="1" customFormat="false" ht="37.5" hidden="false" customHeight="true" outlineLevel="0" collapsed="false">
      <ns0:c r="A1" s="51" t="s">
        <ns0:v>127</ns0:v>
      </ns0:c>
      <ns0:c r="B1" s="51"/>
      <ns0:c r="C1" s="51"/>
      <ns0:c r="D1" s="51"/>
      <ns0:c r="E1" s="51"/>
      <ns0:c r="F1" s="51"/>
      <ns0:c r="G1" s="51"/>
      <ns0:c r="H1" s="51"/>
    </ns0:row>
    <ns0:row r="2" customFormat="false" ht="14.25" hidden="false" customHeight="true" outlineLevel="0" collapsed="false">
      <ns0:c r="A2" s="52" t="s">
        <ns0:v>51</ns0:v>
      </ns0:c>
      <ns0:c r="B2" s="52"/>
      <ns0:c r="C2" s="52"/>
      <ns0:c r="D2" s="52"/>
      <ns0:c r="E2" s="52"/>
      <ns0:c r="F2" s="52"/>
      <ns0:c r="G2" s="52"/>
      <ns0:c r="H2" s="52"/>
    </ns0:row>
    <ns0:row r="3" customFormat="false" ht="15" hidden="false" customHeight="true" outlineLevel="0" collapsed="false">
      <ns0:c r="A3" s="72"/>
      <ns0:c r="B3" s="72"/>
      <ns0:c r="C3" s="72"/>
      <ns0:c r="D3" s="72"/>
      <ns0:c r="E3" s="72"/>
      <ns0:c r="F3" s="72"/>
      <ns0:c r="G3" s="72"/>
      <ns0:c r="H3" s="72"/>
    </ns0:row>
    <ns0:row r="4" customFormat="false" ht="15" hidden="false" customHeight="true" outlineLevel="0" collapsed="false">
      <ns0:c r="A4" s="77" t="s">
        <ns0:v>128</ns0:v>
      </ns0:c>
      <ns0:c r="B4" s="76" t="s">
        <ns0:v>129</ns0:v>
      </ns0:c>
      <ns0:c r="C4" s="76" t="s">
        <ns0:v>116</ns0:v>
      </ns0:c>
      <ns0:c r="D4" s="84" t="s">
        <ns0:v>130</ns0:v>
      </ns0:c>
      <ns0:c r="E4" s="77" t="s">
        <ns0:v>131</ns0:v>
      </ns0:c>
      <ns0:c r="F4" s="76" t="s">
        <ns0:v>89</ns0:v>
      </ns0:c>
      <ns0:c r="G4" s="82"/>
      <ns0:c r="H4" s="90"/>
    </ns0:row>
    <ns0:row r="5" customFormat="false" ht="15" hidden="false" customHeight="true" outlineLevel="0" collapsed="false">
      <ns0:c r="A5" s="70"/>
      <ns0:c r="B5" s="71"/>
      <ns0:c r="C5" s="71"/>
      <ns0:c r="D5" s="91" t="n">
        <ns0:f aca="false">IFERROR(C5/B5,0)</ns0:f>
        <ns0:v>0</ns0:v>
      </ns0:c>
      <ns0:c r="E5" s="69"/>
      <ns0:c r="F5" s="71"/>
      <ns0:c r="G5" s="82"/>
    </ns0:row>
    <ns0:row r="6" customFormat="false" ht="15" hidden="false" customHeight="true" outlineLevel="0" collapsed="false">
      <ns0:c r="A6" s="70"/>
      <ns0:c r="B6" s="71"/>
      <ns0:c r="C6" s="71"/>
      <ns0:c r="D6" s="91" t="n">
        <ns0:f aca="false">IFERROR(C6/B6,0)</ns0:f>
        <ns0:v>0</ns0:v>
      </ns0:c>
      <ns0:c r="E6" s="69"/>
      <ns0:c r="F6" s="71"/>
      <ns0:c r="G6" s="82"/>
    </ns0:row>
    <ns0:row r="7" customFormat="false" ht="15" hidden="false" customHeight="true" outlineLevel="0" collapsed="false">
      <ns0:c r="A7" s="70"/>
      <ns0:c r="B7" s="71"/>
      <ns0:c r="C7" s="71"/>
      <ns0:c r="D7" s="91" t="n">
        <ns0:f aca="false">IFERROR(C7/B7,0)</ns0:f>
        <ns0:v>0</ns0:v>
      </ns0:c>
      <ns0:c r="E7" s="69"/>
      <ns0:c r="F7" s="71"/>
      <ns0:c r="G7" s="82"/>
    </ns0:row>
    <ns0:row r="8" customFormat="false" ht="15" hidden="false" customHeight="true" outlineLevel="0" collapsed="false">
      <ns0:c r="A8" s="70"/>
      <ns0:c r="B8" s="71"/>
      <ns0:c r="C8" s="71"/>
      <ns0:c r="D8" s="91" t="n">
        <ns0:f aca="false">IFERROR(C8/B8,0)</ns0:f>
        <ns0:v>0</ns0:v>
      </ns0:c>
      <ns0:c r="E8" s="69"/>
      <ns0:c r="F8" s="71"/>
      <ns0:c r="G8" s="82"/>
    </ns0:row>
    <ns0:row r="9" customFormat="false" ht="15" hidden="false" customHeight="true" outlineLevel="0" collapsed="false">
      <ns0:c r="A9" s="70"/>
      <ns0:c r="B9" s="71"/>
      <ns0:c r="C9" s="71"/>
      <ns0:c r="D9" s="91" t="n">
        <ns0:f aca="false">IFERROR(C9/B9,0)</ns0:f>
        <ns0:v>0</ns0:v>
      </ns0:c>
      <ns0:c r="E9" s="69"/>
      <ns0:c r="F9" s="71"/>
      <ns0:c r="G9" s="82"/>
    </ns0:row>
    <ns0:row r="10" customFormat="false" ht="15" hidden="false" customHeight="true" outlineLevel="0" collapsed="false">
      <ns0:c r="A10" s="70"/>
      <ns0:c r="B10" s="71"/>
      <ns0:c r="C10" s="71"/>
      <ns0:c r="D10" s="91" t="n">
        <ns0:f aca="false">IFERROR(C10/B10,0)</ns0:f>
        <ns0:v>0</ns0:v>
      </ns0:c>
      <ns0:c r="E10" s="69"/>
      <ns0:c r="F10" s="71"/>
      <ns0:c r="G10" s="82"/>
    </ns0:row>
    <ns0:row r="11" customFormat="false" ht="15" hidden="false" customHeight="true" outlineLevel="0" collapsed="false">
      <ns0:c r="A11" s="70"/>
      <ns0:c r="B11" s="71"/>
      <ns0:c r="C11" s="71"/>
      <ns0:c r="D11" s="91" t="n">
        <ns0:f aca="false">IFERROR(C11/B11,0)</ns0:f>
        <ns0:v>0</ns0:v>
      </ns0:c>
      <ns0:c r="E11" s="69"/>
      <ns0:c r="F11" s="71"/>
      <ns0:c r="G11" s="82"/>
    </ns0:row>
    <ns0:row r="12" customFormat="false" ht="15" hidden="false" customHeight="true" outlineLevel="0" collapsed="false">
      <ns0:c r="A12" s="70"/>
      <ns0:c r="B12" s="71"/>
      <ns0:c r="C12" s="71"/>
      <ns0:c r="D12" s="91" t="n">
        <ns0:f aca="false">IFERROR(C12/B12,0)</ns0:f>
        <ns0:v>0</ns0:v>
      </ns0:c>
      <ns0:c r="E12" s="69"/>
      <ns0:c r="F12" s="71"/>
      <ns0:c r="G12" s="82"/>
    </ns0:row>
    <ns0:row r="13" customFormat="false" ht="15" hidden="false" customHeight="true" outlineLevel="0" collapsed="false">
      <ns0:c r="A13" s="70"/>
      <ns0:c r="B13" s="71"/>
      <ns0:c r="C13" s="71"/>
      <ns0:c r="D13" s="91" t="n">
        <ns0:f aca="false">IFERROR(C13/B13,0)</ns0:f>
        <ns0:v>0</ns0:v>
      </ns0:c>
      <ns0:c r="E13" s="69"/>
      <ns0:c r="F13" s="71"/>
      <ns0:c r="G13" s="82"/>
    </ns0:row>
    <ns0:row r="14" customFormat="false" ht="15" hidden="false" customHeight="true" outlineLevel="0" collapsed="false">
      <ns0:c r="A14" s="70"/>
      <ns0:c r="B14" s="71"/>
      <ns0:c r="C14" s="71"/>
      <ns0:c r="D14" s="91" t="n">
        <ns0:f aca="false">IFERROR(C14/B14,0)</ns0:f>
        <ns0:v>0</ns0:v>
      </ns0:c>
      <ns0:c r="E14" s="69"/>
      <ns0:c r="F14" s="71"/>
      <ns0:c r="G14" s="82"/>
    </ns0:row>
    <ns0:row r="15" customFormat="false" ht="15" hidden="false" customHeight="true" outlineLevel="0" collapsed="false">
      <ns0:c r="A15" s="70"/>
      <ns0:c r="B15" s="71"/>
      <ns0:c r="C15" s="71"/>
      <ns0:c r="D15" s="91" t="n">
        <ns0:f aca="false">IFERROR(C15/B15,0)</ns0:f>
        <ns0:v>0</ns0:v>
      </ns0:c>
      <ns0:c r="E15" s="69"/>
      <ns0:c r="F15" s="71"/>
      <ns0:c r="G15" s="82"/>
    </ns0:row>
    <ns0:row r="16" customFormat="false" ht="15" hidden="false" customHeight="true" outlineLevel="0" collapsed="false">
      <ns0:c r="A16" s="70"/>
      <ns0:c r="B16" s="71"/>
      <ns0:c r="C16" s="71"/>
      <ns0:c r="D16" s="91" t="n">
        <ns0:f aca="false">IFERROR(C16/B16,0)</ns0:f>
        <ns0:v>0</ns0:v>
      </ns0:c>
      <ns0:c r="E16" s="69"/>
      <ns0:c r="F16" s="71"/>
      <ns0:c r="G16" s="82"/>
    </ns0:row>
    <ns0:row r="17" customFormat="false" ht="15" hidden="false" customHeight="true" outlineLevel="0" collapsed="false">
      <ns0:c r="A17" s="70"/>
      <ns0:c r="B17" s="71"/>
      <ns0:c r="C17" s="71"/>
      <ns0:c r="D17" s="91" t="n">
        <ns0:f aca="false">IFERROR(C17/B17,0)</ns0:f>
        <ns0:v>0</ns0:v>
      </ns0:c>
      <ns0:c r="E17" s="69"/>
      <ns0:c r="F17" s="71"/>
      <ns0:c r="G17" s="82"/>
    </ns0:row>
    <ns0:row r="18" customFormat="false" ht="15" hidden="false" customHeight="true" outlineLevel="0" collapsed="false">
      <ns0:c r="A18" s="70"/>
      <ns0:c r="B18" s="71"/>
      <ns0:c r="C18" s="71"/>
      <ns0:c r="D18" s="91" t="n">
        <ns0:f aca="false">IFERROR(C18/B18,0)</ns0:f>
        <ns0:v>0</ns0:v>
      </ns0:c>
      <ns0:c r="E18" s="69"/>
      <ns0:c r="F18" s="71"/>
      <ns0:c r="G18" s="82"/>
    </ns0:row>
    <ns0:row r="19" customFormat="false" ht="15" hidden="false" customHeight="true" outlineLevel="0" collapsed="false">
      <ns0:c r="A19" s="70"/>
      <ns0:c r="B19" s="71"/>
      <ns0:c r="C19" s="71"/>
      <ns0:c r="D19" s="91" t="n">
        <ns0:f aca="false">IFERROR(C19/B19,0)</ns0:f>
        <ns0:v>0</ns0:v>
      </ns0:c>
      <ns0:c r="E19" s="69"/>
      <ns0:c r="F19" s="71"/>
      <ns0:c r="G19" s="82"/>
    </ns0:row>
    <ns0:row r="20" customFormat="false" ht="15" hidden="false" customHeight="true" outlineLevel="0" collapsed="false">
      <ns0:c r="A20" s="70"/>
      <ns0:c r="B20" s="71"/>
      <ns0:c r="C20" s="71"/>
      <ns0:c r="D20" s="91" t="n">
        <ns0:f aca="false">IFERROR(C20/B20,0)</ns0:f>
        <ns0:v>0</ns0:v>
      </ns0:c>
      <ns0:c r="E20" s="69"/>
      <ns0:c r="F20" s="71"/>
      <ns0:c r="G20" s="82"/>
    </ns0:row>
    <ns0:row r="21" customFormat="false" ht="15" hidden="false" customHeight="true" outlineLevel="0" collapsed="false">
      <ns0:c r="A21" s="70"/>
      <ns0:c r="B21" s="71"/>
      <ns0:c r="C21" s="71"/>
      <ns0:c r="D21" s="91" t="n">
        <ns0:f aca="false">IFERROR(C21/B21,0)</ns0:f>
        <ns0:v>0</ns0:v>
      </ns0:c>
      <ns0:c r="E21" s="69"/>
      <ns0:c r="F21" s="71"/>
      <ns0:c r="G21" s="82"/>
    </ns0:row>
    <ns0:row r="22" customFormat="false" ht="15" hidden="false" customHeight="true" outlineLevel="0" collapsed="false">
      <ns0:c r="A22" s="70"/>
      <ns0:c r="B22" s="71"/>
      <ns0:c r="C22" s="71"/>
      <ns0:c r="D22" s="91" t="n">
        <ns0:f aca="false">IFERROR(C22/B22,0)</ns0:f>
        <ns0:v>0</ns0:v>
      </ns0:c>
      <ns0:c r="E22" s="69"/>
      <ns0:c r="F22" s="71"/>
      <ns0:c r="G22" s="82"/>
    </ns0:row>
    <ns0:row r="23" customFormat="false" ht="15" hidden="false" customHeight="true" outlineLevel="0" collapsed="false">
      <ns0:c r="A23" s="70"/>
      <ns0:c r="B23" s="71"/>
      <ns0:c r="C23" s="71"/>
      <ns0:c r="D23" s="91" t="n">
        <ns0:f aca="false">IFERROR(C23/B23,0)</ns0:f>
        <ns0:v>0</ns0:v>
      </ns0:c>
      <ns0:c r="E23" s="69"/>
      <ns0:c r="F23" s="71"/>
      <ns0:c r="G23" s="82"/>
    </ns0:row>
    <ns0:row r="24" customFormat="false" ht="15" hidden="false" customHeight="true" outlineLevel="0" collapsed="false">
      <ns0:c r="A24" s="70"/>
      <ns0:c r="B24" s="71"/>
      <ns0:c r="C24" s="71"/>
      <ns0:c r="D24" s="91" t="n">
        <ns0:f aca="false">IFERROR(C24/B24,0)</ns0:f>
        <ns0:v>0</ns0:v>
      </ns0:c>
      <ns0:c r="E24" s="69"/>
      <ns0:c r="F24" s="71"/>
      <ns0:c r="G24" s="82"/>
    </ns0:row>
    <ns0:row r="25" customFormat="false" ht="15" hidden="false" customHeight="true" outlineLevel="0" collapsed="false">
      <ns0:c r="A25" s="70"/>
      <ns0:c r="B25" s="71"/>
      <ns0:c r="C25" s="71"/>
      <ns0:c r="D25" s="91" t="n">
        <ns0:f aca="false">IFERROR(C25/B25,0)</ns0:f>
        <ns0:v>0</ns0:v>
      </ns0:c>
      <ns0:c r="E25" s="69"/>
      <ns0:c r="F25" s="71"/>
      <ns0:c r="G25" s="82"/>
    </ns0:row>
    <ns0:row r="26" customFormat="false" ht="15" hidden="false" customHeight="true" outlineLevel="0" collapsed="false">
      <ns0:c r="A26" s="70"/>
      <ns0:c r="B26" s="71"/>
      <ns0:c r="C26" s="71"/>
      <ns0:c r="D26" s="91" t="n">
        <ns0:f aca="false">IFERROR(C26/B26,0)</ns0:f>
        <ns0:v>0</ns0:v>
      </ns0:c>
      <ns0:c r="E26" s="69"/>
      <ns0:c r="F26" s="71"/>
      <ns0:c r="G26" s="82"/>
    </ns0:row>
    <ns0:row r="27" customFormat="false" ht="15" hidden="false" customHeight="true" outlineLevel="0" collapsed="false">
      <ns0:c r="A27" s="70"/>
      <ns0:c r="B27" s="71"/>
      <ns0:c r="C27" s="71"/>
      <ns0:c r="D27" s="91" t="n">
        <ns0:f aca="false">IFERROR(C27/B27,0)</ns0:f>
        <ns0:v>0</ns0:v>
      </ns0:c>
      <ns0:c r="E27" s="69"/>
      <ns0:c r="F27" s="71"/>
      <ns0:c r="G27" s="82"/>
    </ns0:row>
    <ns0:row r="28" customFormat="false" ht="15" hidden="false" customHeight="true" outlineLevel="0" collapsed="false">
      <ns0:c r="A28" s="70"/>
      <ns0:c r="B28" s="71"/>
      <ns0:c r="C28" s="71"/>
      <ns0:c r="D28" s="91" t="n">
        <ns0:f aca="false">IFERROR(C28/B28,0)</ns0:f>
        <ns0:v>0</ns0:v>
      </ns0:c>
      <ns0:c r="E28" s="69"/>
      <ns0:c r="F28" s="71"/>
      <ns0:c r="G28" s="82"/>
    </ns0:row>
    <ns0:row r="29" customFormat="false" ht="15" hidden="false" customHeight="true" outlineLevel="0" collapsed="false">
      <ns0:c r="A29" s="70"/>
      <ns0:c r="B29" s="71"/>
      <ns0:c r="C29" s="71"/>
      <ns0:c r="D29" s="91" t="n">
        <ns0:f aca="false">IFERROR(C29/B29,0)</ns0:f>
        <ns0:v>0</ns0:v>
      </ns0:c>
      <ns0:c r="E29" s="69"/>
      <ns0:c r="F29" s="71"/>
      <ns0:c r="G29" s="82"/>
    </ns0:row>
    <ns0:row r="30" customFormat="false" ht="15" hidden="false" customHeight="true" outlineLevel="0" collapsed="false">
      <ns0:c r="A30" s="70"/>
      <ns0:c r="B30" s="71"/>
      <ns0:c r="C30" s="71"/>
      <ns0:c r="D30" s="91" t="n">
        <ns0:f aca="false">IFERROR(C30/B30,0)</ns0:f>
        <ns0:v>0</ns0:v>
      </ns0:c>
      <ns0:c r="E30" s="69"/>
      <ns0:c r="F30" s="71"/>
      <ns0:c r="G30" s="82"/>
    </ns0:row>
    <ns0:row r="31" customFormat="false" ht="15" hidden="false" customHeight="true" outlineLevel="0" collapsed="false">
      <ns0:c r="A31" s="70"/>
      <ns0:c r="B31" s="71"/>
      <ns0:c r="C31" s="71"/>
      <ns0:c r="D31" s="91" t="n">
        <ns0:f aca="false">IFERROR(C31/B31,0)</ns0:f>
        <ns0:v>0</ns0:v>
      </ns0:c>
      <ns0:c r="E31" s="69"/>
      <ns0:c r="F31" s="71"/>
      <ns0:c r="G31" s="82"/>
    </ns0:row>
    <ns0:row r="32" customFormat="false" ht="15" hidden="false" customHeight="true" outlineLevel="0" collapsed="false">
      <ns0:c r="A32" s="70"/>
      <ns0:c r="B32" s="71"/>
      <ns0:c r="C32" s="71"/>
      <ns0:c r="D32" s="91" t="n">
        <ns0:f aca="false">IFERROR(C32/B32,0)</ns0:f>
        <ns0:v>0</ns0:v>
      </ns0:c>
      <ns0:c r="E32" s="69"/>
      <ns0:c r="F32" s="71"/>
      <ns0:c r="G32" s="82"/>
    </ns0:row>
    <ns0:row r="33" customFormat="false" ht="15" hidden="false" customHeight="true" outlineLevel="0" collapsed="false">
      <ns0:c r="A33" s="70"/>
      <ns0:c r="B33" s="71"/>
      <ns0:c r="C33" s="71"/>
      <ns0:c r="D33" s="91" t="n">
        <ns0:f aca="false">IFERROR(C33/B33,0)</ns0:f>
        <ns0:v>0</ns0:v>
      </ns0:c>
      <ns0:c r="E33" s="69"/>
      <ns0:c r="F33" s="71"/>
      <ns0:c r="G33" s="82"/>
    </ns0:row>
    <ns0:row r="34" customFormat="false" ht="15" hidden="false" customHeight="true" outlineLevel="0" collapsed="false">
      <ns0:c r="A34" s="70"/>
      <ns0:c r="B34" s="71"/>
      <ns0:c r="C34" s="71"/>
      <ns0:c r="D34" s="91" t="n">
        <ns0:f aca="false">IFERROR(C34/B34,0)</ns0:f>
        <ns0:v>0</ns0:v>
      </ns0:c>
      <ns0:c r="E34" s="69"/>
      <ns0:c r="F34" s="71"/>
      <ns0:c r="G34" s="82"/>
    </ns0:row>
    <ns0:row r="35" customFormat="false" ht="15" hidden="false" customHeight="true" outlineLevel="0" collapsed="false">
      <ns0:c r="A35" s="70"/>
      <ns0:c r="B35" s="71"/>
      <ns0:c r="C35" s="71"/>
      <ns0:c r="D35" s="91" t="n">
        <ns0:f aca="false">IFERROR(C35/B35,0)</ns0:f>
        <ns0:v>0</ns0:v>
      </ns0:c>
      <ns0:c r="E35" s="69"/>
      <ns0:c r="F35" s="71"/>
      <ns0:c r="G35" s="82"/>
    </ns0:row>
    <ns0:row r="36" customFormat="false" ht="15" hidden="false" customHeight="true" outlineLevel="0" collapsed="false">
      <ns0:c r="A36" s="70"/>
      <ns0:c r="B36" s="71"/>
      <ns0:c r="C36" s="71"/>
      <ns0:c r="D36" s="91" t="n">
        <ns0:f aca="false">IFERROR(C36/B36,0)</ns0:f>
        <ns0:v>0</ns0:v>
      </ns0:c>
      <ns0:c r="E36" s="69"/>
      <ns0:c r="F36" s="71"/>
      <ns0:c r="G36" s="82"/>
    </ns0:row>
    <ns0:row r="37" customFormat="false" ht="15" hidden="false" customHeight="true" outlineLevel="0" collapsed="false">
      <ns0:c r="A37" s="70"/>
      <ns0:c r="B37" s="71"/>
      <ns0:c r="C37" s="71"/>
      <ns0:c r="D37" s="91" t="n">
        <ns0:f aca="false">IFERROR(C37/B37,0)</ns0:f>
        <ns0:v>0</ns0:v>
      </ns0:c>
      <ns0:c r="E37" s="69"/>
      <ns0:c r="F37" s="71"/>
      <ns0:c r="G37" s="82"/>
    </ns0:row>
    <ns0:row r="38" customFormat="false" ht="15" hidden="false" customHeight="true" outlineLevel="0" collapsed="false">
      <ns0:c r="A38" s="70"/>
      <ns0:c r="B38" s="71"/>
      <ns0:c r="C38" s="71"/>
      <ns0:c r="D38" s="91" t="n">
        <ns0:f aca="false">IFERROR(C38/B38,0)</ns0:f>
        <ns0:v>0</ns0:v>
      </ns0:c>
      <ns0:c r="E38" s="69"/>
      <ns0:c r="F38" s="71"/>
      <ns0:c r="G38" s="82"/>
    </ns0:row>
    <ns0:row r="39" customFormat="false" ht="15" hidden="false" customHeight="true" outlineLevel="0" collapsed="false">
      <ns0:c r="A39" s="70"/>
      <ns0:c r="B39" s="71"/>
      <ns0:c r="C39" s="71"/>
      <ns0:c r="D39" s="91" t="n">
        <ns0:f aca="false">IFERROR(C39/B39,0)</ns0:f>
        <ns0:v>0</ns0:v>
      </ns0:c>
      <ns0:c r="E39" s="69"/>
      <ns0:c r="F39" s="71"/>
      <ns0:c r="G39" s="82"/>
    </ns0:row>
    <ns0:row r="40" customFormat="false" ht="15" hidden="false" customHeight="true" outlineLevel="0" collapsed="false">
      <ns0:c r="A40" s="70"/>
      <ns0:c r="B40" s="71"/>
      <ns0:c r="C40" s="71"/>
      <ns0:c r="D40" s="91" t="n">
        <ns0:f aca="false">IFERROR(C40/B40,0)</ns0:f>
        <ns0:v>0</ns0:v>
      </ns0:c>
      <ns0:c r="E40" s="69"/>
      <ns0:c r="F40" s="71"/>
      <ns0:c r="G40" s="82"/>
    </ns0:row>
    <ns0:row r="41" customFormat="false" ht="15" hidden="false" customHeight="true" outlineLevel="0" collapsed="false">
      <ns0:c r="A41" s="70"/>
      <ns0:c r="B41" s="71"/>
      <ns0:c r="C41" s="71"/>
      <ns0:c r="D41" s="91" t="n">
        <ns0:f aca="false">IFERROR(C41/B41,0)</ns0:f>
        <ns0:v>0</ns0:v>
      </ns0:c>
      <ns0:c r="E41" s="69"/>
      <ns0:c r="F41" s="71"/>
      <ns0:c r="G41" s="82"/>
    </ns0:row>
    <ns0:row r="42" customFormat="false" ht="15" hidden="false" customHeight="true" outlineLevel="0" collapsed="false">
      <ns0:c r="A42" s="70"/>
      <ns0:c r="B42" s="71"/>
      <ns0:c r="C42" s="71"/>
      <ns0:c r="D42" s="91" t="n">
        <ns0:f aca="false">IFERROR(C42/B42,0)</ns0:f>
        <ns0:v>0</ns0:v>
      </ns0:c>
      <ns0:c r="E42" s="69"/>
      <ns0:c r="F42" s="71"/>
      <ns0:c r="G42" s="82"/>
    </ns0:row>
    <ns0:row r="43" customFormat="false" ht="15" hidden="false" customHeight="true" outlineLevel="0" collapsed="false">
      <ns0:c r="A43" s="70"/>
      <ns0:c r="B43" s="71"/>
      <ns0:c r="C43" s="71"/>
      <ns0:c r="D43" s="91" t="n">
        <ns0:f aca="false">IFERROR(C43/B43,0)</ns0:f>
        <ns0:v>0</ns0:v>
      </ns0:c>
      <ns0:c r="E43" s="69"/>
      <ns0:c r="F43" s="71"/>
      <ns0:c r="G43" s="82"/>
    </ns0:row>
    <ns0:row r="44" customFormat="false" ht="15" hidden="false" customHeight="true" outlineLevel="0" collapsed="false">
      <ns0:c r="A44" s="70"/>
      <ns0:c r="B44" s="71"/>
      <ns0:c r="C44" s="71"/>
      <ns0:c r="D44" s="91" t="n">
        <ns0:f aca="false">IFERROR(C44/B44,0)</ns0:f>
        <ns0:v>0</ns0:v>
      </ns0:c>
      <ns0:c r="E44" s="69"/>
      <ns0:c r="F44" s="71"/>
      <ns0:c r="G44" s="82"/>
    </ns0:row>
    <ns0:row r="45" customFormat="false" ht="15" hidden="false" customHeight="true" outlineLevel="0" collapsed="false">
      <ns0:c r="A45" s="70"/>
      <ns0:c r="B45" s="71"/>
      <ns0:c r="C45" s="71"/>
      <ns0:c r="D45" s="91" t="n">
        <ns0:f aca="false">IFERROR(C45/B45,0)</ns0:f>
        <ns0:v>0</ns0:v>
      </ns0:c>
      <ns0:c r="E45" s="69"/>
      <ns0:c r="F45" s="71"/>
      <ns0:c r="G45" s="82"/>
    </ns0:row>
    <ns0:row r="46" customFormat="false" ht="15" hidden="false" customHeight="true" outlineLevel="0" collapsed="false">
      <ns0:c r="A46" s="70"/>
      <ns0:c r="B46" s="71"/>
      <ns0:c r="C46" s="71"/>
      <ns0:c r="D46" s="91" t="n">
        <ns0:f aca="false">IFERROR(C46/B46,0)</ns0:f>
        <ns0:v>0</ns0:v>
      </ns0:c>
      <ns0:c r="E46" s="69"/>
      <ns0:c r="F46" s="71"/>
      <ns0:c r="G46" s="82"/>
    </ns0:row>
    <ns0:row r="47" customFormat="false" ht="15" hidden="false" customHeight="true" outlineLevel="0" collapsed="false">
      <ns0:c r="A47" s="70"/>
      <ns0:c r="B47" s="71"/>
      <ns0:c r="C47" s="71"/>
      <ns0:c r="D47" s="91" t="n">
        <ns0:f aca="false">IFERROR(C47/B47,0)</ns0:f>
        <ns0:v>0</ns0:v>
      </ns0:c>
      <ns0:c r="E47" s="69"/>
      <ns0:c r="F47" s="71"/>
      <ns0:c r="G47" s="82"/>
    </ns0:row>
    <ns0:row r="48" customFormat="false" ht="15" hidden="false" customHeight="true" outlineLevel="0" collapsed="false">
      <ns0:c r="A48" s="70"/>
      <ns0:c r="B48" s="71"/>
      <ns0:c r="C48" s="71"/>
      <ns0:c r="D48" s="91" t="n">
        <ns0:f aca="false">IFERROR(C48/B48,0)</ns0:f>
        <ns0:v>0</ns0:v>
      </ns0:c>
      <ns0:c r="E48" s="69"/>
      <ns0:c r="F48" s="71"/>
      <ns0:c r="G48" s="82"/>
    </ns0:row>
    <ns0:row r="49" customFormat="false" ht="15" hidden="false" customHeight="true" outlineLevel="0" collapsed="false">
      <ns0:c r="A49" s="70"/>
      <ns0:c r="B49" s="71"/>
      <ns0:c r="C49" s="71"/>
      <ns0:c r="D49" s="91" t="n">
        <ns0:f aca="false">IFERROR(C49/B49,0)</ns0:f>
        <ns0:v>0</ns0:v>
      </ns0:c>
      <ns0:c r="E49" s="69"/>
      <ns0:c r="F49" s="71"/>
      <ns0:c r="G49" s="82"/>
    </ns0:row>
    <ns0:row r="50" customFormat="false" ht="15" hidden="false" customHeight="true" outlineLevel="0" collapsed="false">
      <ns0:c r="A50" s="70"/>
      <ns0:c r="B50" s="71"/>
      <ns0:c r="C50" s="71"/>
      <ns0:c r="D50" s="91" t="n">
        <ns0:f aca="false">IFERROR(C50/B50,0)</ns0:f>
        <ns0:v>0</ns0:v>
      </ns0:c>
      <ns0:c r="E50" s="69"/>
      <ns0:c r="F50" s="71"/>
      <ns0:c r="G50" s="82"/>
    </ns0:row>
    <ns0:row r="51" customFormat="false" ht="15" hidden="false" customHeight="true" outlineLevel="0" collapsed="false">
      <ns0:c r="A51" s="70"/>
      <ns0:c r="B51" s="71"/>
      <ns0:c r="C51" s="71"/>
      <ns0:c r="D51" s="91" t="n">
        <ns0:f aca="false">IFERROR(C51/B51,0)</ns0:f>
        <ns0:v>0</ns0:v>
      </ns0:c>
      <ns0:c r="E51" s="69"/>
      <ns0:c r="F51" s="71"/>
      <ns0:c r="G51" s="82"/>
    </ns0:row>
    <ns0:row r="52" customFormat="false" ht="15" hidden="false" customHeight="true" outlineLevel="0" collapsed="false">
      <ns0:c r="A52" s="70"/>
      <ns0:c r="B52" s="71"/>
      <ns0:c r="C52" s="71"/>
      <ns0:c r="D52" s="91" t="n">
        <ns0:f aca="false">IFERROR(C52/B52,0)</ns0:f>
        <ns0:v>0</ns0:v>
      </ns0:c>
      <ns0:c r="E52" s="69"/>
      <ns0:c r="F52" s="71"/>
      <ns0:c r="G52" s="82"/>
    </ns0:row>
    <ns0:row r="53" customFormat="false" ht="15" hidden="false" customHeight="true" outlineLevel="0" collapsed="false">
      <ns0:c r="A53" s="70"/>
      <ns0:c r="B53" s="71"/>
      <ns0:c r="C53" s="71"/>
      <ns0:c r="D53" s="91" t="n">
        <ns0:f aca="false">IFERROR(C53/B53,0)</ns0:f>
        <ns0:v>0</ns0:v>
      </ns0:c>
      <ns0:c r="E53" s="69"/>
      <ns0:c r="F53" s="71"/>
      <ns0:c r="G53" s="82"/>
    </ns0:row>
    <ns0:row r="54" customFormat="false" ht="15" hidden="false" customHeight="true" outlineLevel="0" collapsed="false">
      <ns0:c r="A54" s="70"/>
      <ns0:c r="B54" s="71"/>
      <ns0:c r="C54" s="71"/>
      <ns0:c r="D54" s="92" t="n">
        <ns0:f aca="false">IFERROR(C54/B54,0)</ns0:f>
        <ns0:v>0</ns0:v>
      </ns0:c>
      <ns0:c r="E54" s="69"/>
      <ns0:c r="F54" s="70"/>
    </ns0:row>
  </ns0:sheetData>
  <ns0:sheetProtection sheet="true" selectLockedCells="true" selectUnlockedCells="true"/>
  <ns0:autoFilter ref="A3:H53"/>
  <ns0:mergeCells count="2">
    <ns0:mergeCell ref="A1:H1"/>
    <ns0:mergeCell ref="A2:H2"/>
  </ns0:mergeCells>
  <ns0:conditionalFormatting sqref="D4:D53">
    <ns0:cfRule type="cellIs" priority="2" operator="greaterThanOrEqual" aboveAverage="0" equalAverage="0" bottom="0" percent="0" rank="0" text="" dxfId="8">
      <ns0:formula>1</ns0:formula>
    </ns0:cfRule>
  </ns0:conditionalFormatting>
  <ns0:conditionalFormatting sqref="D5:D54">
    <ns0:cfRule type="cellIs" priority="3" operator="greaterThanOrEqual" aboveAverage="0" equalAverage="0" bottom="0" percent="0" rank="0" text="" dxfId="9">
      <ns0:formula>1</ns0:formula>
    </ns0:cfRule>
  </ns0:conditionalFormatting>
  <ns0:hyperlinks>
    <ns0:hyperlink ref="A2" location="'COMECE%20AQUI'!A1" display="← Comece aqui"/>
  </ns0:hyperlinks>
  <ns0:printOptions headings="false" gridLines="false" gridLinesSet="true" horizontalCentered="false" verticalCentered="false"/>
  <ns0:pageMargins left="0.75" right="0.75" top="1" bottom="1" header="0.511811023622047" footer="0.511811023622047"/>
  <ns0:pageSetup paperSize="1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  <ns0:drawing ns1:id="rId2"/>
</ns0:worksheet>
</file>

<file path=xl/worksheets/sheet12.xml><?xml version="1.0" encoding="utf-8"?>
<ns0:worksheet xmlns:ns0="http://schemas.openxmlformats.org/spreadsheetml/2006/main">
  <ns0:sheetPr filterMode="false">
    <ns0:pageSetUpPr fitToPage="true"/>
  </ns0:sheetPr>
  <ns0:dimension ref="A1:F20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true" zeroHeight="false" outlineLevelRow="0" outlineLevelCol="0"/>
  <ns0:cols>
    <ns0:col collapsed="false" customWidth="true" hidden="false" outlineLevel="0" max="1" min="1" style="24" width="30"/>
    <ns0:col collapsed="false" customWidth="true" hidden="false" outlineLevel="0" max="2" min="2" style="24" width="20"/>
    <ns0:col collapsed="false" customWidth="true" hidden="false" outlineLevel="0" max="6" min="3" style="24" width="15"/>
  </ns0:cols>
  <ns0:sheetData>
    <ns0:row r="1" customFormat="false" ht="31.5" hidden="false" customHeight="true" outlineLevel="0" collapsed="false">
      <ns0:c r="A1" s="93" t="s">
        <ns0:v>132</ns0:v>
      </ns0:c>
      <ns0:c r="B1" s="93"/>
      <ns0:c r="C1" s="93"/>
      <ns0:c r="D1" s="93"/>
      <ns0:c r="E1" s="93"/>
      <ns0:c r="F1" s="93"/>
    </ns0:row>
    <ns0:row r="2" customFormat="false" ht="15" hidden="false" customHeight="true" outlineLevel="0" collapsed="false">
      <ns0:c r="A2" s="94" t="s">
        <ns0:v>51</ns0:v>
      </ns0:c>
    </ns0:row>
    <ns0:row r="3" customFormat="false" ht="15" hidden="false" customHeight="true" outlineLevel="0" collapsed="false">
      <ns0:c r="A3" s="95" t="s">
        <ns0:v>133</ns0:v>
      </ns0:c>
    </ns0:row>
    <ns0:row r="5" customFormat="false" ht="15" hidden="false" customHeight="true" outlineLevel="0" collapsed="false">
      <ns0:c r="A5" s="96" t="s">
        <ns0:v>134</ns0:v>
      </ns0:c>
      <ns0:c r="B5" s="48" t="n">
        <ns0:v>10000</ns0:v>
      </ns0:c>
    </ns0:row>
    <ns0:row r="6" customFormat="false" ht="15" hidden="false" customHeight="true" outlineLevel="0" collapsed="false">
      <ns0:c r="A6" s="96" t="s">
        <ns0:v>135</ns0:v>
      </ns0:c>
      <ns0:c r="B6" s="48" t="n">
        <ns0:v>1000</ns0:v>
      </ns0:c>
    </ns0:row>
    <ns0:row r="7" customFormat="false" ht="15" hidden="false" customHeight="true" outlineLevel="0" collapsed="false">
      <ns0:c r="A7" s="96" t="s">
        <ns0:v>136</ns0:v>
      </ns0:c>
      <ns0:c r="B7" s="97" t="n">
        <ns0:v>0.008</ns0:v>
      </ns0:c>
    </ns0:row>
    <ns0:row r="8" customFormat="false" ht="15" hidden="false" customHeight="true" outlineLevel="0" collapsed="false">
      <ns0:c r="A8" s="96" t="s">
        <ns0:v>137</ns0:v>
      </ns0:c>
      <ns0:c r="B8" s="24" t="n">
        <ns0:v>120</ns0:v>
      </ns0:c>
    </ns0:row>
    <ns0:row r="10" customFormat="false" ht="15" hidden="false" customHeight="true" outlineLevel="0" collapsed="false">
      <ns0:c r="A10" s="96" t="s">
        <ns0:v>138</ns0:v>
      </ns0:c>
      <ns0:c r="B10" s="48" t="n">
        <ns0:f aca="false">B5+B6*B8</ns0:f>
        <ns0:v>130000</ns0:v>
      </ns0:c>
    </ns0:row>
    <ns0:row r="11" customFormat="false" ht="15" hidden="false" customHeight="true" outlineLevel="0" collapsed="false">
      <ns0:c r="A11" s="96" t="s">
        <ns0:v>139</ns0:v>
      </ns0:c>
      <ns0:c r="B11" s="48" t="n">
        <ns0:f aca="false">B12-B10</ns0:f>
        <ns0:v>96234.8669627101</ns0:v>
      </ns0:c>
    </ns0:row>
    <ns0:row r="12" customFormat="false" ht="15" hidden="false" customHeight="true" outlineLevel="0" collapsed="false">
      <ns0:c r="A12" s="96" t="s">
        <ns0:v>140</ns0:v>
      </ns0:c>
      <ns0:c r="B12" s="48" t="n">
        <ns0:f aca="false">B5*(1+B7)^B8+B6*(((1+B7)^B8-1)/B7)</ns0:f>
        <ns0:v>226234.86696271</ns0:v>
      </ns0:c>
    </ns0:row>
    <ns0:row r="15" customFormat="false" ht="17.25" hidden="false" customHeight="true" outlineLevel="0" collapsed="false">
      <ns0:c r="A15" s="98" t="s">
        <ns0:v>141</ns0:v>
      </ns0:c>
    </ns0:row>
    <ns0:row r="17" customFormat="false" ht="15" hidden="false" customHeight="true" outlineLevel="0" collapsed="false">
      <ns0:c r="A17" s="24" t="s">
        <ns0:v>142</ns0:v>
      </ns0:c>
      <ns0:c r="B17" s="48" t="n">
        <ns0:v>100000</ns0:v>
      </ns0:c>
    </ns0:row>
    <ns0:row r="18" customFormat="false" ht="15" hidden="false" customHeight="true" outlineLevel="0" collapsed="false">
      <ns0:c r="A18" s="24" t="s">
        <ns0:v>116</ns0:v>
      </ns0:c>
      <ns0:c r="B18" s="48" t="n">
        <ns0:v>20000</ns0:v>
      </ns0:c>
    </ns0:row>
    <ns0:row r="19" customFormat="false" ht="15" hidden="false" customHeight="true" outlineLevel="0" collapsed="false">
      <ns0:c r="A19" s="24" t="s">
        <ns0:v>137</ns0:v>
      </ns0:c>
      <ns0:c r="B19" s="24" t="n">
        <ns0:v>48</ns0:v>
      </ns0:c>
    </ns0:row>
    <ns0:row r="20" customFormat="false" ht="15" hidden="false" customHeight="true" outlineLevel="0" collapsed="false">
      <ns0:c r="A20" s="24" t="s">
        <ns0:v>143</ns0:v>
      </ns0:c>
      <ns0:c r="B20" s="48" t="n">
        <ns0:f aca="false">IFERROR((B17-B18)/B19,0)</ns0:f>
        <ns0:v>1666.66666666667</ns0:v>
      </ns0:c>
    </ns0:row>
  </ns0:sheetData>
  <ns0:sheetProtection sheet="true" selectLockedCells="true" selectUnlockedCells="true"/>
  <ns0:mergeCells count="1">
    <ns0:mergeCell ref="A1:F1"/>
  </ns0:mergeCells>
  <ns0:hyperlinks>
    <ns0:hyperlink ref="A2" location="'COMECE%20AQUI'!A1" display="← Comece aqui"/>
  </ns0:hyperlinks>
  <ns0:printOptions headings="false" gridLines="false" gridLinesSet="true" horizontalCentered="false" verticalCentered="false"/>
  <ns0:pageMargins left="0.75" right="0.75" top="1" bottom="1" header="0.511811023622047" footer="0.511811023622047"/>
  <ns0:pageSetup paperSize="1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Pr filterMode="false">
    <ns0:tabColor rgb="FF2F75B5"/>
    <ns0:pageSetUpPr fitToPage="true"/>
  </ns0:sheetPr>
  <ns0:dimension ref="A1:F13"/>
  <ns0:sheetViews>
    <ns0: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3" topLeftCell="A4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true" zeroHeight="false" outlineLevelRow="0" outlineLevelCol="0"/>
  <ns0:cols>
    <ns0:col collapsed="false" customWidth="true" hidden="false" outlineLevel="0" max="1" min="1" style="24" width="22"/>
    <ns0:col collapsed="false" customWidth="true" hidden="false" outlineLevel="0" max="4" min="2" style="24" width="18"/>
    <ns0:col collapsed="false" customWidth="true" hidden="false" outlineLevel="0" max="5" min="5" style="24" width="16"/>
    <ns0:col collapsed="false" customWidth="true" hidden="false" outlineLevel="0" max="6" min="6" style="24" width="14"/>
  </ns0:cols>
  <ns0:sheetData>
    <ns0:row r="1" customFormat="false" ht="31.5" hidden="false" customHeight="true" outlineLevel="0" collapsed="false">
      <ns0:c r="A1" s="93" t="s">
        <ns0:v>144</ns0:v>
      </ns0:c>
      <ns0:c r="B1" s="93"/>
      <ns0:c r="C1" s="93"/>
      <ns0:c r="D1" s="93"/>
      <ns0:c r="E1" s="93"/>
      <ns0:c r="F1" s="93"/>
    </ns0:row>
    <ns0:row r="2" customFormat="false" ht="15" hidden="false" customHeight="true" outlineLevel="0" collapsed="false">
      <ns0:c r="A2" s="50" t="s">
        <ns0:v>51</ns0:v>
      </ns0:c>
    </ns0:row>
    <ns0:row r="3" customFormat="false" ht="15" hidden="false" customHeight="true" outlineLevel="0" collapsed="false">
      <ns0:c r="A3" s="72" t="s">
        <ns0:v>85</ns0:v>
      </ns0:c>
      <ns0:c r="B3" s="72" t="s">
        <ns0:v>145</ns0:v>
      </ns0:c>
      <ns0:c r="C3" s="72" t="s">
        <ns0:v>146</ns0:v>
      </ns0:c>
      <ns0:c r="D3" s="72" t="s">
        <ns0:v>147</ns0:v>
      </ns0:c>
      <ns0:c r="E3" s="72" t="s">
        <ns0:v>148</ns0:v>
      </ns0:c>
      <ns0:c r="F3" s="72" t="s">
        <ns0:v>149</ns0:v>
      </ns0:c>
    </ns0:row>
    <ns0:row r="4" customFormat="false" ht="15" hidden="false" customHeight="true" outlineLevel="0" collapsed="false">
      <ns0:c r="A4" s="90" t="s">
        <ns0:v>38</ns0:v>
      </ns0:c>
      <ns0:c r="B4" s="82" t="n">
        <ns0:v>0</ns0:v>
      </ns0:c>
      <ns0:c r="C4" s="82" t="n">
        <ns0:f aca="false">SUMIFS(Lançamentos!$F$4:$F$503,Lançamentos!$C$4:$C$503,A4,Lançamentos!$B$4:$B$503,"Despesa")</ns0:f>
        <ns0:v>700</ns0:v>
      </ns0:c>
      <ns0:c r="D4" s="82" t="n">
        <ns0:f aca="false">B4-C4</ns0:f>
        <ns0:v>-700</ns0:v>
      </ns0:c>
      <ns0:c r="E4" s="99" t="n">
        <ns0:f aca="false">IFERROR(C4/B4,0)</ns0:f>
        <ns0:v>0</ns0:v>
      </ns0:c>
      <ns0:c r="F4" s="90" t="str">
        <ns0:f aca="false">IF(E4&lt;=1,"Dentro","Acima")</ns0:f>
        <ns0:v>Dentro</ns0:v>
      </ns0:c>
    </ns0:row>
    <ns0:row r="5" customFormat="false" ht="15" hidden="false" customHeight="true" outlineLevel="0" collapsed="false">
      <ns0:c r="A5" s="90" t="s">
        <ns0:v>40</ns0:v>
      </ns0:c>
      <ns0:c r="B5" s="82" t="n">
        <ns0:v>0</ns0:v>
      </ns0:c>
      <ns0:c r="C5" s="82" t="n">
        <ns0:f aca="false">SUMIFS(Lançamentos!$F$4:$F$503,Lançamentos!$C$4:$C$503,A5,Lançamentos!$B$4:$B$503,"Despesa")</ns0:f>
        <ns0:v>900</ns0:v>
      </ns0:c>
      <ns0:c r="D5" s="82" t="n">
        <ns0:f aca="false">B5-C5</ns0:f>
        <ns0:v>-900</ns0:v>
      </ns0:c>
      <ns0:c r="E5" s="99" t="n">
        <ns0:f aca="false">IFERROR(C5/B5,0)</ns0:f>
        <ns0:v>0</ns0:v>
      </ns0:c>
      <ns0:c r="F5" s="90" t="str">
        <ns0:f aca="false">IF(E5&lt;=1,"Dentro","Acima")</ns0:f>
        <ns0:v>Dentro</ns0:v>
      </ns0:c>
    </ns0:row>
    <ns0:row r="6" customFormat="false" ht="15" hidden="false" customHeight="true" outlineLevel="0" collapsed="false">
      <ns0:c r="A6" s="90" t="s">
        <ns0:v>41</ns0:v>
      </ns0:c>
      <ns0:c r="B6" s="82" t="n">
        <ns0:v>0</ns0:v>
      </ns0:c>
      <ns0:c r="C6" s="82" t="n">
        <ns0:f aca="false">SUMIFS(Lançamentos!$F$4:$F$503,Lançamentos!$C$4:$C$503,A6,Lançamentos!$B$4:$B$503,"Despesa")</ns0:f>
        <ns0:v>400</ns0:v>
      </ns0:c>
      <ns0:c r="D6" s="82" t="n">
        <ns0:f aca="false">B6-C6</ns0:f>
        <ns0:v>-400</ns0:v>
      </ns0:c>
      <ns0:c r="E6" s="99" t="n">
        <ns0:f aca="false">IFERROR(C6/B6,0)</ns0:f>
        <ns0:v>0</ns0:v>
      </ns0:c>
      <ns0:c r="F6" s="90" t="str">
        <ns0:f aca="false">IF(E6&lt;=1,"Dentro","Acima")</ns0:f>
        <ns0:v>Dentro</ns0:v>
      </ns0:c>
    </ns0:row>
    <ns0:row r="7" customFormat="false" ht="15" hidden="false" customHeight="true" outlineLevel="0" collapsed="false">
      <ns0:c r="A7" s="90" t="s">
        <ns0:v>42</ns0:v>
      </ns0:c>
      <ns0:c r="B7" s="82" t="n">
        <ns0:v>0</ns0:v>
      </ns0:c>
      <ns0:c r="C7" s="82" t="n">
        <ns0:f aca="false">SUMIFS(Lançamentos!$F$4:$F$503,Lançamentos!$C$4:$C$503,A7,Lançamentos!$B$4:$B$503,"Despesa")</ns0:f>
        <ns0:v>0</ns0:v>
      </ns0:c>
      <ns0:c r="D7" s="82" t="n">
        <ns0:f aca="false">B7-C7</ns0:f>
        <ns0:v>0</ns0:v>
      </ns0:c>
      <ns0:c r="E7" s="99" t="n">
        <ns0:f aca="false">IFERROR(C7/B7,0)</ns0:f>
        <ns0:v>0</ns0:v>
      </ns0:c>
      <ns0:c r="F7" s="90" t="str">
        <ns0:f aca="false">IF(E7&lt;=1,"Dentro","Acima")</ns0:f>
        <ns0:v>Dentro</ns0:v>
      </ns0:c>
    </ns0:row>
    <ns0:row r="8" customFormat="false" ht="15" hidden="false" customHeight="true" outlineLevel="0" collapsed="false">
      <ns0:c r="A8" s="90" t="s">
        <ns0:v>43</ns0:v>
      </ns0:c>
      <ns0:c r="B8" s="82" t="n">
        <ns0:v>0</ns0:v>
      </ns0:c>
      <ns0:c r="C8" s="82" t="n">
        <ns0:f aca="false">SUMIFS(Lançamentos!$F$4:$F$503,Lançamentos!$C$4:$C$503,A8,Lançamentos!$B$4:$B$503,"Despesa")</ns0:f>
        <ns0:v>0</ns0:v>
      </ns0:c>
      <ns0:c r="D8" s="82" t="n">
        <ns0:f aca="false">B8-C8</ns0:f>
        <ns0:v>0</ns0:v>
      </ns0:c>
      <ns0:c r="E8" s="99" t="n">
        <ns0:f aca="false">IFERROR(C8/B8,0)</ns0:f>
        <ns0:v>0</ns0:v>
      </ns0:c>
      <ns0:c r="F8" s="90" t="str">
        <ns0:f aca="false">IF(E8&lt;=1,"Dentro","Acima")</ns0:f>
        <ns0:v>Dentro</ns0:v>
      </ns0:c>
    </ns0:row>
    <ns0:row r="9" customFormat="false" ht="15" hidden="false" customHeight="true" outlineLevel="0" collapsed="false">
      <ns0:c r="A9" s="90" t="s">
        <ns0:v>44</ns0:v>
      </ns0:c>
      <ns0:c r="B9" s="82" t="n">
        <ns0:v>0</ns0:v>
      </ns0:c>
      <ns0:c r="C9" s="82" t="n">
        <ns0:f aca="false">SUMIFS(Lançamentos!$F$4:$F$503,Lançamentos!$C$4:$C$503,A9,Lançamentos!$B$4:$B$503,"Despesa")</ns0:f>
        <ns0:v>300</ns0:v>
      </ns0:c>
      <ns0:c r="D9" s="82" t="n">
        <ns0:f aca="false">B9-C9</ns0:f>
        <ns0:v>-300</ns0:v>
      </ns0:c>
      <ns0:c r="E9" s="99" t="n">
        <ns0:f aca="false">IFERROR(C9/B9,0)</ns0:f>
        <ns0:v>0</ns0:v>
      </ns0:c>
      <ns0:c r="F9" s="90" t="str">
        <ns0:f aca="false">IF(E9&lt;=1,"Dentro","Acima")</ns0:f>
        <ns0:v>Dentro</ns0:v>
      </ns0:c>
    </ns0:row>
    <ns0:row r="10" customFormat="false" ht="15" hidden="false" customHeight="true" outlineLevel="0" collapsed="false">
      <ns0:c r="A10" s="90" t="s">
        <ns0:v>45</ns0:v>
      </ns0:c>
      <ns0:c r="B10" s="82" t="n">
        <ns0:v>0</ns0:v>
      </ns0:c>
      <ns0:c r="C10" s="82" t="n">
        <ns0:f aca="false">SUMIFS(Lançamentos!$F$4:$F$503,Lançamentos!$C$4:$C$503,A10,Lançamentos!$B$4:$B$503,"Despesa")</ns0:f>
        <ns0:v>0</ns0:v>
      </ns0:c>
      <ns0:c r="D10" s="82" t="n">
        <ns0:f aca="false">B10-C10</ns0:f>
        <ns0:v>0</ns0:v>
      </ns0:c>
      <ns0:c r="E10" s="99" t="n">
        <ns0:f aca="false">IFERROR(C10/B10,0)</ns0:f>
        <ns0:v>0</ns0:v>
      </ns0:c>
      <ns0:c r="F10" s="90" t="str">
        <ns0:f aca="false">IF(E10&lt;=1,"Dentro","Acima")</ns0:f>
        <ns0:v>Dentro</ns0:v>
      </ns0:c>
    </ns0:row>
    <ns0:row r="11" customFormat="false" ht="15" hidden="false" customHeight="true" outlineLevel="0" collapsed="false">
      <ns0:c r="A11" s="90" t="s">
        <ns0:v>46</ns0:v>
      </ns0:c>
      <ns0:c r="B11" s="82" t="n">
        <ns0:v>0</ns0:v>
      </ns0:c>
      <ns0:c r="C11" s="82" t="n">
        <ns0:f aca="false">SUMIFS(Lançamentos!$F$4:$F$503,Lançamentos!$C$4:$C$503,A11,Lançamentos!$B$4:$B$503,"Despesa")</ns0:f>
        <ns0:v>0</ns0:v>
      </ns0:c>
      <ns0:c r="D11" s="82" t="n">
        <ns0:f aca="false">B11-C11</ns0:f>
        <ns0:v>0</ns0:v>
      </ns0:c>
      <ns0:c r="E11" s="99" t="n">
        <ns0:f aca="false">IFERROR(C11/B11,0)</ns0:f>
        <ns0:v>0</ns0:v>
      </ns0:c>
      <ns0:c r="F11" s="90" t="str">
        <ns0:f aca="false">IF(E11&lt;=1,"Dentro","Acima")</ns0:f>
        <ns0:v>Dentro</ns0:v>
      </ns0:c>
    </ns0:row>
    <ns0:row r="12" customFormat="false" ht="15" hidden="false" customHeight="true" outlineLevel="0" collapsed="false">
      <ns0:c r="A12" s="90" t="s">
        <ns0:v>47</ns0:v>
      </ns0:c>
      <ns0:c r="B12" s="82" t="n">
        <ns0:v>0</ns0:v>
      </ns0:c>
      <ns0:c r="C12" s="82" t="n">
        <ns0:f aca="false">SUMIFS(Lançamentos!$F$4:$F$503,Lançamentos!$C$4:$C$503,A12,Lançamentos!$B$4:$B$503,"Despesa")</ns0:f>
        <ns0:v>0</ns0:v>
      </ns0:c>
      <ns0:c r="D12" s="82" t="n">
        <ns0:f aca="false">B12-C12</ns0:f>
        <ns0:v>0</ns0:v>
      </ns0:c>
      <ns0:c r="E12" s="99" t="n">
        <ns0:f aca="false">IFERROR(C12/B12,0)</ns0:f>
        <ns0:v>0</ns0:v>
      </ns0:c>
      <ns0:c r="F12" s="90" t="str">
        <ns0:f aca="false">IF(E12&lt;=1,"Dentro","Acima")</ns0:f>
        <ns0:v>Dentro</ns0:v>
      </ns0:c>
    </ns0:row>
    <ns0:row r="13" customFormat="false" ht="15" hidden="false" customHeight="true" outlineLevel="0" collapsed="false">
      <ns0:c r="A13" s="90" t="s">
        <ns0:v>49</ns0:v>
      </ns0:c>
      <ns0:c r="B13" s="82" t="n">
        <ns0:v>0</ns0:v>
      </ns0:c>
      <ns0:c r="C13" s="82" t="n">
        <ns0:f aca="false">SUMIFS(Lançamentos!$F$4:$F$503,Lançamentos!$C$4:$C$503,A13,Lançamentos!$B$4:$B$503,"Despesa")</ns0:f>
        <ns0:v>0</ns0:v>
      </ns0:c>
      <ns0:c r="D13" s="82" t="n">
        <ns0:f aca="false">B13-C13</ns0:f>
        <ns0:v>0</ns0:v>
      </ns0:c>
      <ns0:c r="E13" s="99" t="n">
        <ns0:f aca="false">IFERROR(C13/B13,0)</ns0:f>
        <ns0:v>0</ns0:v>
      </ns0:c>
      <ns0:c r="F13" s="90" t="str">
        <ns0:f aca="false">IF(E13&lt;=1,"Dentro","Acima")</ns0:f>
        <ns0:v>Dentro</ns0:v>
      </ns0:c>
    </ns0:row>
  </ns0:sheetData>
  <ns0:autoFilter ref="A3:F13"/>
  <ns0:mergeCells count="1">
    <ns0:mergeCell ref="A1:F1"/>
  </ns0:mergeCells>
  <ns0:conditionalFormatting sqref="F4:F13">
    <ns0:cfRule type="cellIs" priority="2" operator="equal" aboveAverage="0" equalAverage="0" bottom="0" percent="0" rank="0" text="" dxfId="5">
      <ns0:formula>"Acima"</ns0:formula>
    </ns0:cfRule>
  </ns0:conditionalFormatting>
  <ns0:hyperlinks>
    <ns0:hyperlink ref="A2" location="'COMECE%20AQUI'!A1" display="← Comece aqui"/>
  </ns0:hyperlinks>
  <ns0:printOptions headings="false" gridLines="false" gridLinesSet="true" horizontalCentered="false" verticalCentered="false"/>
  <ns0:pageMargins left="0.75" right="0.75" top="1" bottom="1" header="0.511811023622047" footer="0.511811023622047"/>
  <ns0:pageSetup paperSize="1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  <ns0:drawing ns1:id="rId2"/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Pr filterMode="false">
    <ns0:pageSetUpPr fitToPage="true"/>
  </ns0:sheetPr>
  <ns0:dimension ref="A1:D12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true" zeroHeight="false" outlineLevelRow="0" outlineLevelCol="0"/>
  <ns0:sheetData>
    <ns0:row r="1" customFormat="false" ht="24" hidden="false" customHeight="true" outlineLevel="0" collapsed="false">
      <ns0:c r="A1" s="100" t="s">
        <ns0:v>150</ns0:v>
      </ns0:c>
      <ns0:c r="B1" s="100"/>
      <ns0:c r="C1" s="100"/>
      <ns0:c r="D1" s="100"/>
    </ns0:row>
    <ns0:row r="2" customFormat="false" ht="15" hidden="false" customHeight="true" outlineLevel="0" collapsed="false">
      <ns0:c r="A2" s="94" t="s">
        <ns0:v>51</ns0:v>
      </ns0:c>
    </ns0:row>
    <ns0:row r="3" customFormat="false" ht="15" hidden="false" customHeight="true" outlineLevel="0" collapsed="false">
      <ns0:c r="A3" s="101" t="s">
        <ns0:v>151</ns0:v>
      </ns0:c>
      <ns0:c r="B3" s="101" t="s">
        <ns0:v>152</ns0:v>
      </ns0:c>
      <ns0:c r="C3" s="101" t="s">
        <ns0:v>153</ns0:v>
      </ns0:c>
      <ns0:c r="D3" s="101" t="s">
        <ns0:v>154</ns0:v>
      </ns0:c>
    </ns0:row>
    <ns0:row r="4" customFormat="false" ht="15" hidden="false" customHeight="true" outlineLevel="0" collapsed="false">
      <ns0:c r="A4" s="102" t="n">
        <ns0:v>46113</ns0:v>
      </ns0:c>
      <ns0:c r="B4" s="79" t="n">
        <ns0:v>600000</ns0:v>
      </ns0:c>
      <ns0:c r="C4" s="79" t="n">
        <ns0:v>360000</ns0:v>
      </ns0:c>
      <ns0:c r="D4" s="79" t="n">
        <ns0:f aca="false">B4-C4</ns0:f>
        <ns0:v>240000</ns0:v>
      </ns0:c>
    </ns0:row>
    <ns0:row r="5" customFormat="false" ht="15" hidden="false" customHeight="true" outlineLevel="0" collapsed="false">
      <ns0:c r="A5" s="102" t="n">
        <ns0:v>46143</ns0:v>
      </ns0:c>
      <ns0:c r="B5" s="79" t="n">
        <ns0:v>625000</ns0:v>
      </ns0:c>
      <ns0:c r="C5" s="79" t="n">
        <ns0:v>355000</ns0:v>
      </ns0:c>
      <ns0:c r="D5" s="79" t="n">
        <ns0:f aca="false">B5-C5</ns0:f>
        <ns0:v>270000</ns0:v>
      </ns0:c>
    </ns0:row>
    <ns0:row r="6" customFormat="false" ht="15" hidden="false" customHeight="true" outlineLevel="0" collapsed="false">
      <ns0:c r="A6" s="102" t="n">
        <ns0:v>46174</ns0:v>
      </ns0:c>
      <ns0:c r="B6" s="79" t="n">
        <ns0:v>650000</ns0:v>
      </ns0:c>
      <ns0:c r="C6" s="79" t="n">
        <ns0:v>350000</ns0:v>
      </ns0:c>
      <ns0:c r="D6" s="79" t="n">
        <ns0:f aca="false">B6-C6</ns0:f>
        <ns0:v>300000</ns0:v>
      </ns0:c>
    </ns0:row>
    <ns0:row r="7" customFormat="false" ht="15" hidden="false" customHeight="true" outlineLevel="0" collapsed="false">
      <ns0:c r="A7" s="102" t="n">
        <ns0:v>46204</ns0:v>
      </ns0:c>
      <ns0:c r="B7" s="79" t="n">
        <ns0:v>670000</ns0:v>
      </ns0:c>
      <ns0:c r="C7" s="79" t="n">
        <ns0:v>345000</ns0:v>
      </ns0:c>
      <ns0:c r="D7" s="79" t="n">
        <ns0:f aca="false">B7-C7</ns0:f>
        <ns0:v>325000</ns0:v>
      </ns0:c>
    </ns0:row>
    <ns0:row r="8" customFormat="false" ht="15" hidden="false" customHeight="true" outlineLevel="0" collapsed="false">
      <ns0:c r="A8" s="102" t="n">
        <ns0:v>46235</ns0:v>
      </ns0:c>
      <ns0:c r="B8" s="79" t="n">
        <ns0:v>695000</ns0:v>
      </ns0:c>
      <ns0:c r="C8" s="79" t="n">
        <ns0:v>340000</ns0:v>
      </ns0:c>
      <ns0:c r="D8" s="79" t="n">
        <ns0:f aca="false">B8-C8</ns0:f>
        <ns0:v>355000</ns0:v>
      </ns0:c>
    </ns0:row>
    <ns0:row r="9" customFormat="false" ht="15" hidden="false" customHeight="true" outlineLevel="0" collapsed="false">
      <ns0:c r="A9" s="102" t="n">
        <ns0:v>46266</ns0:v>
      </ns0:c>
      <ns0:c r="B9" s="79" t="n">
        <ns0:v>710000</ns0:v>
      </ns0:c>
      <ns0:c r="C9" s="79" t="n">
        <ns0:v>370000</ns0:v>
      </ns0:c>
      <ns0:c r="D9" s="79" t="n">
        <ns0:f aca="false">B9-C9</ns0:f>
        <ns0:v>340000</ns0:v>
      </ns0:c>
    </ns0:row>
    <ns0:row r="11" customFormat="false" ht="15" hidden="false" customHeight="true" outlineLevel="0" collapsed="false">
      <ns0:c r="A11" s="103" t="s">
        <ns0:v>155</ns0:v>
      </ns0:c>
    </ns0:row>
    <ns0:row r="12" customFormat="false" ht="41.25" hidden="false" customHeight="true" outlineLevel="0" collapsed="false">
      <ns0:c r="A12" s="104" t="s">
        <ns0:v>156</ns0:v>
      </ns0:c>
      <ns0:c r="B12" s="104"/>
      <ns0:c r="C12" s="104"/>
      <ns0:c r="D12" s="104"/>
    </ns0:row>
  </ns0:sheetData>
  <ns0:sheetProtection sheet="true" selectLockedCells="true" selectUnlockedCells="true"/>
  <ns0:mergeCells count="2">
    <ns0:mergeCell ref="A1:D1"/>
    <ns0:mergeCell ref="A12:D12"/>
  </ns0:mergeCells>
  <ns0:hyperlinks>
    <ns0:hyperlink ref="A2" location="'COMECE%20AQUI'!A1" display="← Comece aqui"/>
  </ns0:hyperlinks>
  <ns0:printOptions headings="false" gridLines="false" gridLinesSet="true" horizontalCentered="false" verticalCentered="false"/>
  <ns0:pageMargins left="0.75" right="0.75" top="1" bottom="1" header="0.511811023622047" footer="0.511811023622047"/>
  <ns0:pageSetup paperSize="1" scale="100" fitToWidth="1" fitToHeight="0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  <ns0:drawing ns1:id="rId2"/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2026-09-07T23:00:11Z</dcterms:created>
  <dc:creator>openpyxl</dc:creator>
  <dc:description/>
  <dc:language>en-US</dc:language>
  <cp:lastModifiedBy/>
  <dcterms:modified xsi:type="dcterms:W3CDTF">2026-09-09T03:25:39Z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